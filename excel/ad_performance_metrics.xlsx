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mpaign" sheetId="2" state="visible" r:id="rId4"/>
    <sheet name="Age" sheetId="3" state="visible" r:id="rId5"/>
    <sheet name="Gender" sheetId="4" state="visible" r:id="rId6"/>
    <sheet name="Age x Gender" sheetId="5" state="visible" r:id="rId7"/>
    <sheet name="Campaign x Gender" sheetId="6" state="visible" r:id="rId8"/>
    <sheet name="Interest" sheetId="7" state="visible" r:id="rId9"/>
    <sheet name="Reconciliation" sheetId="8" state="visible" r:id="rId10"/>
    <sheet name="Metric Definitions" sheetId="9" state="visible" r:id="rId11"/>
    <sheet name="Gender Theory by Campaign" sheetId="10" state="visible" r:id="rId12"/>
    <sheet name="Men 30-34 by Campaign" sheetId="11" state="visible" r:id="rId13"/>
    <sheet name="Scenario Estimates" sheetId="12" state="visible" r:id="rId14"/>
    <sheet name="Dat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<sst xmlns="http://schemas.openxmlformats.org/spreadsheetml/2006/main" count="2314" uniqueCount="212">
  <si>
    <t xml:space="preserve">Ad Campaign Performance – Metrics Overview</t>
  </si>
  <si>
    <t xml:space="preserve">All values are live formulas on the Data sheet (936 ads with at least one click; the 207 zero-click, zero-spend ads are excluded, see Reconciliation).</t>
  </si>
  <si>
    <t xml:space="preserve">Metric</t>
  </si>
  <si>
    <t xml:space="preserve">Value</t>
  </si>
  <si>
    <t xml:space="preserve">Definition</t>
  </si>
  <si>
    <t xml:space="preserve">Ads</t>
  </si>
  <si>
    <t xml:space="preserve">Number of ad rows</t>
  </si>
  <si>
    <t xml:space="preserve">Distinct fb campaigns</t>
  </si>
  <si>
    <t xml:space="preserve">Unique fb_campaign_id</t>
  </si>
  <si>
    <t xml:space="preserve">Impressions</t>
  </si>
  <si>
    <t xml:space="preserve">Total ad views</t>
  </si>
  <si>
    <t xml:space="preserve">Clicks</t>
  </si>
  <si>
    <t xml:space="preserve">Total ad clicks</t>
  </si>
  <si>
    <t xml:space="preserve">Spent ($)</t>
  </si>
  <si>
    <t xml:space="preserve">Total cost</t>
  </si>
  <si>
    <t xml:space="preserve">Total Conversions</t>
  </si>
  <si>
    <t xml:space="preserve">Enquiries / leads recorded</t>
  </si>
  <si>
    <t xml:space="preserve">Approved Conversions</t>
  </si>
  <si>
    <t xml:space="preserve">Purchases confirmed</t>
  </si>
  <si>
    <t xml:space="preserve">CTR %</t>
  </si>
  <si>
    <t xml:space="preserve">Clicks ÷ Impressions</t>
  </si>
  <si>
    <t xml:space="preserve">CPM ($)</t>
  </si>
  <si>
    <t xml:space="preserve">Spend per 1,000 impressions</t>
  </si>
  <si>
    <t xml:space="preserve">CPC ($)</t>
  </si>
  <si>
    <t xml:space="preserve">Spend ÷ Clicks</t>
  </si>
  <si>
    <t xml:space="preserve">Conversion Rate (CR)</t>
  </si>
  <si>
    <t xml:space="preserve">Total conversions ÷ Clicks</t>
  </si>
  <si>
    <t xml:space="preserve">Approved Conv. Rate (ACR)</t>
  </si>
  <si>
    <t xml:space="preserve">Approved conversions ÷ Clicks</t>
  </si>
  <si>
    <t xml:space="preserve">Approval Rate (AR)</t>
  </si>
  <si>
    <t xml:space="preserve">Approved ÷ Total conversions</t>
  </si>
  <si>
    <t xml:space="preserve">Cost / Total Conv. ($)</t>
  </si>
  <si>
    <t xml:space="preserve">Spend ÷ Total conversions</t>
  </si>
  <si>
    <t xml:space="preserve">Cost / Approved Conv. ($)</t>
  </si>
  <si>
    <t xml:space="preserve">Spend ÷ Approved conversions (CPA)</t>
  </si>
  <si>
    <t xml:space="preserve">Avg spend per ad ($)</t>
  </si>
  <si>
    <t xml:space="preserve">Spend ÷ Ads</t>
  </si>
  <si>
    <t xml:space="preserve">Ads with zero approved conv.</t>
  </si>
  <si>
    <t xml:space="preserve">Count of ads</t>
  </si>
  <si>
    <t xml:space="preserve">Spend on zero-approved ads ($)</t>
  </si>
  <si>
    <t xml:space="preserve">Budget with no approved result</t>
  </si>
  <si>
    <t xml:space="preserve">  as % of total spend</t>
  </si>
  <si>
    <t xml:space="preserve">Share of budget</t>
  </si>
  <si>
    <t xml:space="preserve">Note: "Total Conversion" = enquiries/leads; "Approved Conversion" = purchases (per the standard reading of this dataset). Confirm with the data owner.</t>
  </si>
  <si>
    <t xml:space="preserve">Performance by Campaign</t>
  </si>
  <si>
    <t xml:space="preserve">xyz_campaign_id</t>
  </si>
  <si>
    <t xml:space="preserve">Campaign</t>
  </si>
  <si>
    <t xml:space="preserve">Total Conv.</t>
  </si>
  <si>
    <t xml:space="preserve">Approved Conv.</t>
  </si>
  <si>
    <t xml:space="preserve">Conv. Rate (CR)</t>
  </si>
  <si>
    <t xml:space="preserve">Spend Share</t>
  </si>
  <si>
    <t xml:space="preserve">Approved Share</t>
  </si>
  <si>
    <t xml:space="preserve">Efficiency Index</t>
  </si>
  <si>
    <t xml:space="preserve">Total</t>
  </si>
  <si>
    <t xml:space="preserve">Efficiency Index = Approved Share ÷ Spend Share. Above 1.0 = the segment returns more approved conversions than its share of budget.</t>
  </si>
  <si>
    <t xml:space="preserve">Performance by Age Group</t>
  </si>
  <si>
    <t xml:space="preserve">Age</t>
  </si>
  <si>
    <t xml:space="preserve">30-34</t>
  </si>
  <si>
    <t xml:space="preserve">35-39</t>
  </si>
  <si>
    <t xml:space="preserve">40-44</t>
  </si>
  <si>
    <t xml:space="preserve">45-49</t>
  </si>
  <si>
    <t xml:space="preserve">Performance by Gender</t>
  </si>
  <si>
    <t xml:space="preserve">Gender</t>
  </si>
  <si>
    <t xml:space="preserve">F</t>
  </si>
  <si>
    <t xml:space="preserve">M</t>
  </si>
  <si>
    <t xml:space="preserve">Performance by Age x Gender</t>
  </si>
  <si>
    <t xml:space="preserve">Performance by Campaign x Gender</t>
  </si>
  <si>
    <t xml:space="preserve">Performance by Interest Category (sorted by spend)</t>
  </si>
  <si>
    <t xml:space="preserve">Rows with very small spend have unstable ratios – use for direction, not decisions.</t>
  </si>
  <si>
    <t xml:space="preserve">Interest ID</t>
  </si>
  <si>
    <t xml:space="preserve">Scope: raw CSV vs the 936-ad analysis scope</t>
  </si>
  <si>
    <t xml:space="preserve">Raw CSV figures are hardcoded inputs (blue). The 207 removed ads all have 0 clicks and $0 spend.</t>
  </si>
  <si>
    <t xml:space="preserve">Raw CSV (1,143 ads)</t>
  </si>
  <si>
    <t xml:space="preserve">Analysis scope (936 ads)</t>
  </si>
  <si>
    <t xml:space="preserve">Removed (207 ads)</t>
  </si>
  <si>
    <t xml:space="preserve">Removed ads: 0 clicks, $0 spend, 488,881 impressions, 212 total and 76 approved conversions (no click attributed).</t>
  </si>
  <si>
    <t xml:space="preserve">Metrics used</t>
  </si>
  <si>
    <t xml:space="preserve">Formula</t>
  </si>
  <si>
    <t xml:space="preserve">How to read it</t>
  </si>
  <si>
    <t xml:space="preserve">CTR</t>
  </si>
  <si>
    <t xml:space="preserve">Ad relevance / attention</t>
  </si>
  <si>
    <t xml:space="preserve">CPM</t>
  </si>
  <si>
    <t xml:space="preserve">Spend ÷ Impressions × 1,000</t>
  </si>
  <si>
    <t xml:space="preserve">Cost of reach</t>
  </si>
  <si>
    <t xml:space="preserve">CPC</t>
  </si>
  <si>
    <t xml:space="preserve">Cost of traffic</t>
  </si>
  <si>
    <t xml:space="preserve">CR</t>
  </si>
  <si>
    <t xml:space="preserve">Total Conv. ÷ Clicks</t>
  </si>
  <si>
    <t xml:space="preserve">Click-to-lead quality (can exceed 100% on tiny samples or view-through)</t>
  </si>
  <si>
    <t xml:space="preserve">ACR</t>
  </si>
  <si>
    <t xml:space="preserve">Approved Conv. ÷ Clicks</t>
  </si>
  <si>
    <t xml:space="preserve">Click-to-sale quality</t>
  </si>
  <si>
    <t xml:space="preserve">AR</t>
  </si>
  <si>
    <t xml:space="preserve">Approved ÷ Total Conv.</t>
  </si>
  <si>
    <t xml:space="preserve">Lead-to-sale closing rate</t>
  </si>
  <si>
    <t xml:space="preserve">Cost / Total Conv.</t>
  </si>
  <si>
    <t xml:space="preserve">Spend ÷ Total Conv.</t>
  </si>
  <si>
    <t xml:space="preserve">Cost per lead</t>
  </si>
  <si>
    <t xml:space="preserve">Cost / Approved Conv. (CPA)</t>
  </si>
  <si>
    <t xml:space="preserve">Spend ÷ Approved Conv.</t>
  </si>
  <si>
    <t xml:space="preserve">Cost per sale – primary efficiency KPI</t>
  </si>
  <si>
    <t xml:space="preserve">Spend Share / Approved Share</t>
  </si>
  <si>
    <t xml:space="preserve">Segment ÷ Grand total</t>
  </si>
  <si>
    <t xml:space="preserve">Budget vs results distribution</t>
  </si>
  <si>
    <t xml:space="preserve">Approved Share ÷ Spend Share</t>
  </si>
  <si>
    <t xml:space="preserve">&gt;1 over-delivers, &lt;1 under-delivers</t>
  </si>
  <si>
    <t xml:space="preserve">Are men under-invested? Gender comparison inside each campaign</t>
  </si>
  <si>
    <t xml:space="preserve">Shares are within each campaign. Efficiency index = share of approved / share of spend (above 1 = under-invested relative to results). Campaign 916 is small (35 ads, 16 approved).</t>
  </si>
  <si>
    <t xml:space="preserve">Share of Ads</t>
  </si>
  <si>
    <t xml:space="preserve">Share of Spend</t>
  </si>
  <si>
    <t xml:space="preserve">Share of Approved</t>
  </si>
  <si>
    <t xml:space="preserve">Spend per Ad ($)</t>
  </si>
  <si>
    <t xml:space="preserve">Men / Women: Cost per Approved</t>
  </si>
  <si>
    <t xml:space="preserve">Men / Women: ACR</t>
  </si>
  <si>
    <t xml:space="preserve">Men / Women: Spend per Ad</t>
  </si>
  <si>
    <t xml:space="preserve">Men - Women: AR (pts)</t>
  </si>
  <si>
    <t xml:space="preserve">Is the campaign gap just a Men 30-34 mix effect? Men 30-34 vs everyone else, by campaign</t>
  </si>
  <si>
    <t xml:space="preserve">Shares are within each campaign. Campaign 916 men 30-34 = 10 ads and 4 approved conversions: directional only.</t>
  </si>
  <si>
    <t xml:space="preserve">Group</t>
  </si>
  <si>
    <t xml:space="preserve">Men 30-34</t>
  </si>
  <si>
    <t xml:space="preserve">Everyone else</t>
  </si>
  <si>
    <t xml:space="preserve">Mix test: what would the 1178 cost per approved conversion be if its spend mix matched another campaign?</t>
  </si>
  <si>
    <t xml:space="preserve">Campaign mix applied</t>
  </si>
  <si>
    <t xml:space="preserve">Men 30-34 share of spend</t>
  </si>
  <si>
    <t xml:space="preserve">1178 actual ($)</t>
  </si>
  <si>
    <t xml:space="preserve">1178 at that mix ($)</t>
  </si>
  <si>
    <t xml:space="preserve">Campaign actual ($)</t>
  </si>
  <si>
    <t xml:space="preserve">Total gap ($)</t>
  </si>
  <si>
    <t xml:space="preserve">Gap explained by mix ($)</t>
  </si>
  <si>
    <t xml:space="preserve">% of gap explained</t>
  </si>
  <si>
    <t xml:space="preserve">Method: 1178 cost per approved conversion for Men 30-34 and everyone else is held fixed; only the spend split between the two groups changes (cost = 1 / sum of share ÷ group cost).</t>
  </si>
  <si>
    <t xml:space="preserve">Estimated impact of the recommendations (scenarios, not forecasts)</t>
  </si>
  <si>
    <t xml:space="preserve">Total budget is held constant. Blue cells are assumptions you can change. Optimistic = new dollars perform at the receiving segment's current CPA; conservative = they cost 1.5x that.</t>
  </si>
  <si>
    <t xml:space="preserve">Assumptions</t>
  </si>
  <si>
    <t xml:space="preserve">Efficiency multiplier, optimistic (new-dollar CPA = current CPA x this)</t>
  </si>
  <si>
    <t xml:space="preserve">Efficiency multiplier, conservative</t>
  </si>
  <si>
    <t xml:space="preserve">Share of zero-approved-ad spend redeployed</t>
  </si>
  <si>
    <t xml:space="preserve">Share of campaign 1178 spend moved to 936 (test)</t>
  </si>
  <si>
    <t xml:space="preserve">Target approval rate (AR), moderate</t>
  </si>
  <si>
    <t xml:space="preserve">Target approval rate (AR), strong</t>
  </si>
  <si>
    <t xml:space="preserve">Baseline (936-ad scope)</t>
  </si>
  <si>
    <t xml:space="preserve">Spend ($)</t>
  </si>
  <si>
    <t xml:space="preserve">Approved conversions</t>
  </si>
  <si>
    <t xml:space="preserve">Total conversions</t>
  </si>
  <si>
    <t xml:space="preserve">Approval rate (AR)</t>
  </si>
  <si>
    <t xml:space="preserve">Cost per approved conversion ($)</t>
  </si>
  <si>
    <t xml:space="preserve">Segment</t>
  </si>
  <si>
    <t xml:space="preserve">CPA ($)</t>
  </si>
  <si>
    <t xml:space="preserve">30-34 F</t>
  </si>
  <si>
    <t xml:space="preserve">30-34 M</t>
  </si>
  <si>
    <t xml:space="preserve">35-39 F</t>
  </si>
  <si>
    <t xml:space="preserve">35-39 M</t>
  </si>
  <si>
    <t xml:space="preserve">40-44 F</t>
  </si>
  <si>
    <t xml:space="preserve">40-44 M</t>
  </si>
  <si>
    <t xml:space="preserve">45-49 F</t>
  </si>
  <si>
    <t xml:space="preserve">45-49 M</t>
  </si>
  <si>
    <t xml:space="preserve">A. Reallocate budget from low-efficiency segments to men and women 30-34 (split 50/50)</t>
  </si>
  <si>
    <t xml:space="preserve">Scenario</t>
  </si>
  <si>
    <t xml:space="preserve">Donor segments</t>
  </si>
  <si>
    <t xml:space="preserve">Share of donor budget moved</t>
  </si>
  <si>
    <t xml:space="preserve">Budget moved ($)</t>
  </si>
  <si>
    <t xml:space="preserve">Approved lost</t>
  </si>
  <si>
    <t xml:space="preserve">Approved gained (optimistic)</t>
  </si>
  <si>
    <t xml:space="preserve">New CPA, optimistic ($)</t>
  </si>
  <si>
    <t xml:space="preserve">CPA improvement, optimistic</t>
  </si>
  <si>
    <t xml:space="preserve">Approved gained (conservative)</t>
  </si>
  <si>
    <t xml:space="preserve">New CPA, conservative ($)</t>
  </si>
  <si>
    <t xml:space="preserve">CPA improvement, conservative</t>
  </si>
  <si>
    <t xml:space="preserve">Extra approved, optimistic</t>
  </si>
  <si>
    <t xml:space="preserve">Extra approved, conservative</t>
  </si>
  <si>
    <t xml:space="preserve">1</t>
  </si>
  <si>
    <t xml:space="preserve">Women 45-49</t>
  </si>
  <si>
    <t xml:space="preserve">2</t>
  </si>
  <si>
    <t xml:space="preserve">3</t>
  </si>
  <si>
    <t xml:space="preserve">Women 45-49 + Women 40-44 + Men 45-49</t>
  </si>
  <si>
    <t xml:space="preserve">B. Raise the approval rate (total conversions unchanged)</t>
  </si>
  <si>
    <t xml:space="preserve">Target AR</t>
  </si>
  <si>
    <t xml:space="preserve">New approved</t>
  </si>
  <si>
    <t xml:space="preserve">New CPA ($)</t>
  </si>
  <si>
    <t xml:space="preserve">CPA improvement</t>
  </si>
  <si>
    <t xml:space="preserve">Extra approved</t>
  </si>
  <si>
    <t xml:space="preserve">Women's AR lifted to men's AR level</t>
  </si>
  <si>
    <t xml:space="preserve">C. Pause part of the zero-approved ads and redeploy the budget at the blended CPA</t>
  </si>
  <si>
    <t xml:space="preserve">Zero-approved spend ($)</t>
  </si>
  <si>
    <t xml:space="preserve">Share redeployed</t>
  </si>
  <si>
    <t xml:space="preserve">New approved, optimistic</t>
  </si>
  <si>
    <t xml:space="preserve">New approved, conservative</t>
  </si>
  <si>
    <t xml:space="preserve">Redeploy waste</t>
  </si>
  <si>
    <t xml:space="preserve">D. Test: move budget from campaign 1178 to campaign 936</t>
  </si>
  <si>
    <t xml:space="preserve">1178 CPA ($)</t>
  </si>
  <si>
    <t xml:space="preserve">936 CPA ($)</t>
  </si>
  <si>
    <t xml:space="preserve">1178 to 936</t>
  </si>
  <si>
    <t xml:space="preserve">E. Combined: scenario A2 followed by an approval-rate lift to the moderate target</t>
  </si>
  <si>
    <t xml:space="preserve">A2 + AR lift</t>
  </si>
  <si>
    <t xml:space="preserve">F. Move budget between interests: half of interests 27 and 22 spend to interests 29, 20 and 15</t>
  </si>
  <si>
    <t xml:space="preserve">Receivers blended CPA ($)</t>
  </si>
  <si>
    <t xml:space="preserve">Interest shift</t>
  </si>
  <si>
    <t xml:space="preserve">Method and caveats:</t>
  </si>
  <si>
    <t xml:space="preserve">Donor segments lose approved conversions in proportion to the budget removed, at their current average CPA.</t>
  </si>
  <si>
    <t xml:space="preserve">Receiving segments gain at their current CPA times the efficiency multiplier, because extra spend usually performs worse than average spend.</t>
  </si>
  <si>
    <t xml:space="preserve">Scenarios A to D overlap, so they should not be added together; use section E for a combined view.</t>
  </si>
  <si>
    <t xml:space="preserve">Section B assumes approval is improved by an operational fix; the cost of that fix is not included.</t>
  </si>
  <si>
    <t xml:space="preserve">Segment CPAs are observational. Real results should be confirmed with a controlled test before scaling.</t>
  </si>
  <si>
    <t xml:space="preserve">ad_id</t>
  </si>
  <si>
    <t xml:space="preserve">fb_campaign_id</t>
  </si>
  <si>
    <t xml:space="preserve">age</t>
  </si>
  <si>
    <t xml:space="preserve">gender</t>
  </si>
  <si>
    <t xml:space="preserve">interest</t>
  </si>
  <si>
    <t xml:space="preserve">Spent</t>
  </si>
  <si>
    <t xml:space="preserve">Total_Conversion</t>
  </si>
  <si>
    <t xml:space="preserve">Approved_Conversion</t>
  </si>
  <si>
    <t xml:space="preserve">Source: KAG_conversion_data.csv, rows with Clicks &gt; 0 (936 of 1,143 ads).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</si>
</sst>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\$#,##0.00"/>
    <numFmt numFmtId="167" formatCode="0.000%"/>
    <numFmt numFmtId="168" formatCode="\$0.000"/>
    <numFmt numFmtId="169" formatCode="\$0.00"/>
    <numFmt numFmtId="170" formatCode="0.0%"/>
    <numFmt numFmtId="171" formatCode="0.00"/>
    <numFmt numFmtId="172" formatCode="0.00\x"/>
    <numFmt numFmtId="173" formatCode="0.0"/>
    <numFmt numFmtId="174" formatCode="0%"/>
    <numFmt numFmtId="175" formatCode="\$#,##0"/>
    <numFmt numFmtId="176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COUNTA(Data!A2:A937)</f>
        <v>936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SUMPRODUCT(1/COUNTIF(Data!$C$2:$C$937,Data!$C$2:$C$937))</f>
        <v>543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f aca="false">SUM(Data!$G$2:$G$937)</f>
        <v>212945947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f aca="false">SUM(Data!$H$2:$H$937)</f>
        <v>38165</v>
      </c>
      <c r="C8" s="6" t="s">
        <v>12</v>
      </c>
    </row>
    <row r="9" customFormat="false" ht="15" hidden="false" customHeight="false" outlineLevel="0" collapsed="false">
      <c r="A9" s="4" t="s">
        <v>13</v>
      </c>
      <c r="B9" s="7" t="n">
        <f aca="false">SUM(Data!$I$2:$I$937)</f>
        <v>58705.229958205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f aca="false">SUM(Data!$J$2:$J$937)</f>
        <v>3052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5" t="n">
        <f aca="false">SUM(Data!$K$2:$K$937)</f>
        <v>1003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8" t="n">
        <f aca="false">B8/B7</f>
        <v>0.00017922388539285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9" t="n">
        <f aca="false">B9/B7*1000</f>
        <v>0.275681367902273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10" t="n">
        <f aca="false">B9/B8</f>
        <v>1.53819546595585</v>
      </c>
      <c r="C14" s="6" t="s">
        <v>24</v>
      </c>
    </row>
    <row r="15" customFormat="false" ht="15" hidden="false" customHeight="false" outlineLevel="0" collapsed="false">
      <c r="A15" s="4" t="s">
        <v>25</v>
      </c>
      <c r="B15" s="11" t="n">
        <f aca="false">B10/B8</f>
        <v>0.0799685575789336</v>
      </c>
      <c r="C15" s="6" t="s">
        <v>26</v>
      </c>
    </row>
    <row r="16" customFormat="false" ht="15" hidden="false" customHeight="false" outlineLevel="0" collapsed="false">
      <c r="A16" s="4" t="s">
        <v>27</v>
      </c>
      <c r="B16" s="11" t="n">
        <f aca="false">B11/B8</f>
        <v>0.0262806236080178</v>
      </c>
      <c r="C16" s="6" t="s">
        <v>28</v>
      </c>
    </row>
    <row r="17" customFormat="false" ht="15" hidden="false" customHeight="false" outlineLevel="0" collapsed="false">
      <c r="A17" s="4" t="s">
        <v>29</v>
      </c>
      <c r="B17" s="11" t="n">
        <f aca="false">B11/B10</f>
        <v>0.328636959370904</v>
      </c>
      <c r="C17" s="6" t="s">
        <v>30</v>
      </c>
    </row>
    <row r="18" customFormat="false" ht="15" hidden="false" customHeight="false" outlineLevel="0" collapsed="false">
      <c r="A18" s="4" t="s">
        <v>31</v>
      </c>
      <c r="B18" s="10" t="n">
        <f aca="false">B9/B10</f>
        <v>19.2350032628457</v>
      </c>
      <c r="C18" s="6" t="s">
        <v>32</v>
      </c>
    </row>
    <row r="19" customFormat="false" ht="15" hidden="false" customHeight="false" outlineLevel="0" collapsed="false">
      <c r="A19" s="4" t="s">
        <v>33</v>
      </c>
      <c r="B19" s="10" t="n">
        <f aca="false">B9/B11</f>
        <v>58.5296410350997</v>
      </c>
      <c r="C19" s="6" t="s">
        <v>34</v>
      </c>
    </row>
    <row r="20" customFormat="false" ht="15" hidden="false" customHeight="false" outlineLevel="0" collapsed="false">
      <c r="A20" s="4" t="s">
        <v>35</v>
      </c>
      <c r="B20" s="10" t="n">
        <f aca="false">B9/B5</f>
        <v>62.71926277586</v>
      </c>
      <c r="C20" s="6" t="s">
        <v>36</v>
      </c>
    </row>
    <row r="21" customFormat="false" ht="15" hidden="false" customHeight="false" outlineLevel="0" collapsed="false">
      <c r="A21" s="4" t="s">
        <v>37</v>
      </c>
      <c r="B21" s="5" t="n">
        <f aca="false">COUNTIF(Data!$K$2:$K$937,0)</f>
        <v>423</v>
      </c>
      <c r="C21" s="6" t="s">
        <v>38</v>
      </c>
    </row>
    <row r="22" customFormat="false" ht="15" hidden="false" customHeight="false" outlineLevel="0" collapsed="false">
      <c r="A22" s="4" t="s">
        <v>39</v>
      </c>
      <c r="B22" s="7" t="n">
        <f aca="false">SUMIFS(Data!$I$2:$I$937,Data!$K$2:$K$937,0)</f>
        <v>14754.420008475</v>
      </c>
      <c r="C22" s="6" t="s">
        <v>40</v>
      </c>
    </row>
    <row r="23" customFormat="false" ht="15" hidden="false" customHeight="false" outlineLevel="0" collapsed="false">
      <c r="A23" s="4" t="s">
        <v>41</v>
      </c>
      <c r="B23" s="11" t="n">
        <f aca="false">B22/B9</f>
        <v>0.251330588756391</v>
      </c>
      <c r="C23" s="6" t="s">
        <v>42</v>
      </c>
    </row>
    <row r="25" customFormat="false" ht="15" hidden="false" customHeight="false" outlineLevel="0" collapsed="false">
      <c r="A25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18" min="5" style="0" width="14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31.5" hidden="false" customHeight="true" outlineLevel="0" collapsed="false">
      <c r="A4" s="3" t="s">
        <v>46</v>
      </c>
      <c r="B4" s="3" t="s">
        <v>5</v>
      </c>
      <c r="C4" s="3" t="s">
        <v>9</v>
      </c>
      <c r="D4" s="3" t="s">
        <v>11</v>
      </c>
      <c r="E4" s="3" t="s">
        <v>13</v>
      </c>
      <c r="F4" s="3" t="s">
        <v>47</v>
      </c>
      <c r="G4" s="3" t="s">
        <v>48</v>
      </c>
      <c r="H4" s="3" t="s">
        <v>19</v>
      </c>
      <c r="I4" s="3" t="s">
        <v>21</v>
      </c>
      <c r="J4" s="3" t="s">
        <v>23</v>
      </c>
      <c r="K4" s="3" t="s">
        <v>49</v>
      </c>
      <c r="L4" s="3" t="s">
        <v>27</v>
      </c>
      <c r="M4" s="3" t="s">
        <v>29</v>
      </c>
      <c r="N4" s="3" t="s">
        <v>31</v>
      </c>
      <c r="O4" s="3" t="s">
        <v>33</v>
      </c>
      <c r="P4" s="3" t="s">
        <v>50</v>
      </c>
      <c r="Q4" s="3" t="s">
        <v>51</v>
      </c>
      <c r="R4" s="3" t="s">
        <v>52</v>
      </c>
    </row>
    <row r="5" customFormat="false" ht="15" hidden="false" customHeight="false" outlineLevel="0" collapsed="false">
      <c r="A5" s="6" t="n">
        <v>916</v>
      </c>
      <c r="B5" s="5" t="n">
        <f aca="false">COUNTIFS(Data!$B$2:$B$937,$A5)</f>
        <v>35</v>
      </c>
      <c r="C5" s="5" t="n">
        <f aca="false">SUMIFS(Data!$G$2:$G$937,Data!$B$2:$B$937,$A5)</f>
        <v>448046</v>
      </c>
      <c r="D5" s="5" t="n">
        <f aca="false">SUMIFS(Data!$H$2:$H$937,Data!$B$2:$B$937,$A5)</f>
        <v>113</v>
      </c>
      <c r="E5" s="7" t="n">
        <f aca="false">SUMIFS(Data!$I$2:$I$937,Data!$B$2:$B$937,$A5)</f>
        <v>149.710000657</v>
      </c>
      <c r="F5" s="5" t="n">
        <f aca="false">SUMIFS(Data!$J$2:$J$937,Data!$B$2:$B$937,$A5)</f>
        <v>39</v>
      </c>
      <c r="G5" s="5" t="n">
        <f aca="false">SUMIFS(Data!$K$2:$K$937,Data!$B$2:$B$937,$A5)</f>
        <v>16</v>
      </c>
      <c r="H5" s="8" t="n">
        <f aca="false">IFERROR(D5/C5,0)</f>
        <v>0.000252206246680028</v>
      </c>
      <c r="I5" s="9" t="n">
        <f aca="false">IFERROR(E5/C5*1000,0)</f>
        <v>0.334139799612093</v>
      </c>
      <c r="J5" s="10" t="n">
        <f aca="false">IFERROR(E5/D5,0)</f>
        <v>1.32486726245133</v>
      </c>
      <c r="K5" s="11" t="n">
        <f aca="false">IFERROR(F5/D5,0)</f>
        <v>0.345132743362832</v>
      </c>
      <c r="L5" s="11" t="n">
        <f aca="false">IFERROR(G5/D5,0)</f>
        <v>0.141592920353982</v>
      </c>
      <c r="M5" s="11" t="n">
        <f aca="false">IFERROR(G5/F5,0)</f>
        <v>0.41025641025641</v>
      </c>
      <c r="N5" s="10" t="n">
        <f aca="false">IFERROR(E5/F5,0)</f>
        <v>3.8387179655641</v>
      </c>
      <c r="O5" s="10" t="n">
        <f aca="false">IFERROR(E5/G5,0)</f>
        <v>9.3568750410625</v>
      </c>
      <c r="P5" s="11" t="n">
        <f aca="false">IFERROR(E5/E$8,0)</f>
        <v>0.00255019869206859</v>
      </c>
      <c r="Q5" s="11" t="n">
        <f aca="false">IFERROR(G5/G$8,0)</f>
        <v>0.0159521435692921</v>
      </c>
      <c r="R5" s="12" t="n">
        <f aca="false">IFERROR(Q5/P5,0)</f>
        <v>6.25525517635357</v>
      </c>
    </row>
    <row r="6" customFormat="false" ht="15" hidden="false" customHeight="false" outlineLevel="0" collapsed="false">
      <c r="A6" s="6" t="n">
        <v>936</v>
      </c>
      <c r="B6" s="5" t="n">
        <f aca="false">COUNTIFS(Data!$B$2:$B$937,$A6)</f>
        <v>288</v>
      </c>
      <c r="C6" s="5" t="n">
        <f aca="false">SUMIFS(Data!$G$2:$G$937,Data!$B$2:$B$937,$A6)</f>
        <v>7797942</v>
      </c>
      <c r="D6" s="5" t="n">
        <f aca="false">SUMIFS(Data!$H$2:$H$937,Data!$B$2:$B$937,$A6)</f>
        <v>1984</v>
      </c>
      <c r="E6" s="7" t="n">
        <f aca="false">SUMIFS(Data!$I$2:$I$937,Data!$B$2:$B$937,$A6)</f>
        <v>2893.369998934</v>
      </c>
      <c r="F6" s="5" t="n">
        <f aca="false">SUMIFS(Data!$J$2:$J$937,Data!$B$2:$B$937,$A6)</f>
        <v>356</v>
      </c>
      <c r="G6" s="5" t="n">
        <f aca="false">SUMIFS(Data!$K$2:$K$937,Data!$B$2:$B$937,$A6)</f>
        <v>118</v>
      </c>
      <c r="H6" s="8" t="n">
        <f aca="false">IFERROR(D6/C6,0)</f>
        <v>0.000254426103707876</v>
      </c>
      <c r="I6" s="9" t="n">
        <f aca="false">IFERROR(E6/C6*1000,0)</f>
        <v>0.371042769865947</v>
      </c>
      <c r="J6" s="10" t="n">
        <f aca="false">IFERROR(E6/D6,0)</f>
        <v>1.45835181397883</v>
      </c>
      <c r="K6" s="11" t="n">
        <f aca="false">IFERROR(F6/D6,0)</f>
        <v>0.179435483870968</v>
      </c>
      <c r="L6" s="11" t="n">
        <f aca="false">IFERROR(G6/D6,0)</f>
        <v>0.0594758064516129</v>
      </c>
      <c r="M6" s="11" t="n">
        <f aca="false">IFERROR(G6/F6,0)</f>
        <v>0.331460674157303</v>
      </c>
      <c r="N6" s="10" t="n">
        <f aca="false">IFERROR(E6/F6,0)</f>
        <v>8.12744381723034</v>
      </c>
      <c r="O6" s="10" t="n">
        <f aca="false">IFERROR(E6/G6,0)</f>
        <v>24.5200847367288</v>
      </c>
      <c r="P6" s="11" t="n">
        <f aca="false">IFERROR(E6/E$8,0)</f>
        <v>0.0492864094220213</v>
      </c>
      <c r="Q6" s="11" t="n">
        <f aca="false">IFERROR(G6/G$8,0)</f>
        <v>0.117647058823529</v>
      </c>
      <c r="R6" s="12" t="n">
        <f aca="false">IFERROR(Q6/P6,0)</f>
        <v>2.38700810635567</v>
      </c>
    </row>
    <row r="7" customFormat="false" ht="15" hidden="false" customHeight="false" outlineLevel="0" collapsed="false">
      <c r="A7" s="6" t="n">
        <v>1178</v>
      </c>
      <c r="B7" s="5" t="n">
        <f aca="false">COUNTIFS(Data!$B$2:$B$937,$A7)</f>
        <v>613</v>
      </c>
      <c r="C7" s="5" t="n">
        <f aca="false">SUMIFS(Data!$G$2:$G$937,Data!$B$2:$B$937,$A7)</f>
        <v>204699959</v>
      </c>
      <c r="D7" s="5" t="n">
        <f aca="false">SUMIFS(Data!$H$2:$H$937,Data!$B$2:$B$937,$A7)</f>
        <v>36068</v>
      </c>
      <c r="E7" s="7" t="n">
        <f aca="false">SUMIFS(Data!$I$2:$I$937,Data!$B$2:$B$937,$A7)</f>
        <v>55662.149958614</v>
      </c>
      <c r="F7" s="5" t="n">
        <f aca="false">SUMIFS(Data!$J$2:$J$937,Data!$B$2:$B$937,$A7)</f>
        <v>2657</v>
      </c>
      <c r="G7" s="5" t="n">
        <f aca="false">SUMIFS(Data!$K$2:$K$937,Data!$B$2:$B$937,$A7)</f>
        <v>869</v>
      </c>
      <c r="H7" s="8" t="n">
        <f aca="false">IFERROR(D7/C7,0)</f>
        <v>0.000176199351363817</v>
      </c>
      <c r="I7" s="9" t="n">
        <f aca="false">IFERROR(E7/C7*1000,0)</f>
        <v>0.271920669796587</v>
      </c>
      <c r="J7" s="10" t="n">
        <f aca="false">IFERROR(E7/D7,0)</f>
        <v>1.54325579346274</v>
      </c>
      <c r="K7" s="11" t="n">
        <f aca="false">IFERROR(F7/D7,0)</f>
        <v>0.0736664078961961</v>
      </c>
      <c r="L7" s="11" t="n">
        <f aca="false">IFERROR(G7/D7,0)</f>
        <v>0.0240933791726738</v>
      </c>
      <c r="M7" s="11" t="n">
        <f aca="false">IFERROR(G7/F7,0)</f>
        <v>0.327060594655627</v>
      </c>
      <c r="N7" s="10" t="n">
        <f aca="false">IFERROR(E7/F7,0)</f>
        <v>20.9492472557825</v>
      </c>
      <c r="O7" s="10" t="n">
        <f aca="false">IFERROR(E7/G7,0)</f>
        <v>64.0531069719379</v>
      </c>
      <c r="P7" s="11" t="n">
        <f aca="false">IFERROR(E7/E$8,0)</f>
        <v>0.94816339188591</v>
      </c>
      <c r="Q7" s="11" t="n">
        <f aca="false">IFERROR(G7/G$8,0)</f>
        <v>0.866400797607179</v>
      </c>
      <c r="R7" s="12" t="n">
        <f aca="false">IFERROR(Q7/P7,0)</f>
        <v>0.913767400240897</v>
      </c>
    </row>
    <row r="8" customFormat="false" ht="15" hidden="false" customHeight="false" outlineLevel="0" collapsed="false">
      <c r="A8" s="13" t="s">
        <v>53</v>
      </c>
      <c r="B8" s="14" t="n">
        <f aca="false">SUM(B5:B7)</f>
        <v>936</v>
      </c>
      <c r="C8" s="14" t="n">
        <f aca="false">SUM(C5:C7)</f>
        <v>212945947</v>
      </c>
      <c r="D8" s="14" t="n">
        <f aca="false">SUM(D5:D7)</f>
        <v>38165</v>
      </c>
      <c r="E8" s="15" t="n">
        <f aca="false">SUM(E5:E7)</f>
        <v>58705.229958205</v>
      </c>
      <c r="F8" s="14" t="n">
        <f aca="false">SUM(F5:F7)</f>
        <v>3052</v>
      </c>
      <c r="G8" s="14" t="n">
        <f aca="false">SUM(G5:G7)</f>
        <v>1003</v>
      </c>
      <c r="H8" s="16" t="n">
        <f aca="false">IFERROR(D8/C8,0)</f>
        <v>0.00017922388539285</v>
      </c>
      <c r="I8" s="17" t="n">
        <f aca="false">IFERROR(E8/C8*1000,0)</f>
        <v>0.275681367902273</v>
      </c>
      <c r="J8" s="18" t="n">
        <f aca="false">IFERROR(E8/D8,0)</f>
        <v>1.53819546595585</v>
      </c>
      <c r="K8" s="19" t="n">
        <f aca="false">IFERROR(F8/D8,0)</f>
        <v>0.0799685575789336</v>
      </c>
      <c r="L8" s="19" t="n">
        <f aca="false">IFERROR(G8/D8,0)</f>
        <v>0.0262806236080178</v>
      </c>
      <c r="M8" s="19" t="n">
        <f aca="false">IFERROR(G8/F8,0)</f>
        <v>0.328636959370904</v>
      </c>
      <c r="N8" s="18" t="n">
        <f aca="false">IFERROR(E8/F8,0)</f>
        <v>19.2350032628457</v>
      </c>
      <c r="O8" s="18" t="n">
        <f aca="false">IFERROR(E8/G8,0)</f>
        <v>58.5296410350997</v>
      </c>
      <c r="P8" s="19" t="n">
        <f aca="false">IFERROR(E8/E$8,0)</f>
        <v>1</v>
      </c>
      <c r="Q8" s="19" t="n">
        <f aca="false">IFERROR(G8/G$8,0)</f>
        <v>1</v>
      </c>
      <c r="R8" s="20" t="n">
        <f aca="false">IFERROR(Q8/P8,0)</f>
        <v>1</v>
      </c>
    </row>
    <row r="10" customFormat="false" ht="15" hidden="false" customHeight="false" outlineLevel="0" collapsed="false">
      <c r="A10" s="2" t="s">
        <v>54</v>
      </c>
    </row>
  </sheetData>
  <conditionalFormatting sqref="O5:O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5:R7">
    <cfRule type="colorScale" priority="3">
      <colorScale>
        <cfvo type="min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18" min="5" style="0" width="14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3" t="s">
        <v>56</v>
      </c>
      <c r="B4" s="3" t="s">
        <v>5</v>
      </c>
      <c r="C4" s="3" t="s">
        <v>9</v>
      </c>
      <c r="D4" s="3" t="s">
        <v>11</v>
      </c>
      <c r="E4" s="3" t="s">
        <v>13</v>
      </c>
      <c r="F4" s="3" t="s">
        <v>47</v>
      </c>
      <c r="G4" s="3" t="s">
        <v>48</v>
      </c>
      <c r="H4" s="3" t="s">
        <v>19</v>
      </c>
      <c r="I4" s="3" t="s">
        <v>21</v>
      </c>
      <c r="J4" s="3" t="s">
        <v>23</v>
      </c>
      <c r="K4" s="3" t="s">
        <v>49</v>
      </c>
      <c r="L4" s="3" t="s">
        <v>27</v>
      </c>
      <c r="M4" s="3" t="s">
        <v>29</v>
      </c>
      <c r="N4" s="3" t="s">
        <v>31</v>
      </c>
      <c r="O4" s="3" t="s">
        <v>33</v>
      </c>
      <c r="P4" s="3" t="s">
        <v>50</v>
      </c>
      <c r="Q4" s="3" t="s">
        <v>51</v>
      </c>
      <c r="R4" s="3" t="s">
        <v>52</v>
      </c>
    </row>
    <row r="5" customFormat="false" ht="15" hidden="false" customHeight="false" outlineLevel="0" collapsed="false">
      <c r="A5" s="6" t="s">
        <v>57</v>
      </c>
      <c r="B5" s="5" t="n">
        <f aca="false">COUNTIFS(Data!$D$2:$D$937,$A5)</f>
        <v>307</v>
      </c>
      <c r="C5" s="5" t="n">
        <f aca="false">SUMIFS(Data!$G$2:$G$937,Data!$D$2:$D$937,$A5)</f>
        <v>67674431</v>
      </c>
      <c r="D5" s="5" t="n">
        <f aca="false">SUMIFS(Data!$H$2:$H$937,Data!$D$2:$D$937,$A5)</f>
        <v>9483</v>
      </c>
      <c r="E5" s="7" t="n">
        <f aca="false">SUMIFS(Data!$I$2:$I$937,Data!$D$2:$D$937,$A5)</f>
        <v>15252.399986378</v>
      </c>
      <c r="F5" s="5" t="n">
        <f aca="false">SUMIFS(Data!$J$2:$J$937,Data!$D$2:$D$937,$A5)</f>
        <v>1307</v>
      </c>
      <c r="G5" s="5" t="n">
        <f aca="false">SUMIFS(Data!$K$2:$K$937,Data!$D$2:$D$937,$A5)</f>
        <v>443</v>
      </c>
      <c r="H5" s="8" t="n">
        <f aca="false">IFERROR(D5/C5,0)</f>
        <v>0.000140126778457879</v>
      </c>
      <c r="I5" s="9" t="n">
        <f aca="false">IFERROR(E5/C5*1000,0)</f>
        <v>0.225379065047152</v>
      </c>
      <c r="J5" s="10" t="n">
        <f aca="false">IFERROR(E5/D5,0)</f>
        <v>1.60839396671707</v>
      </c>
      <c r="K5" s="11" t="n">
        <f aca="false">IFERROR(F5/D5,0)</f>
        <v>0.137825582621533</v>
      </c>
      <c r="L5" s="11" t="n">
        <f aca="false">IFERROR(G5/D5,0)</f>
        <v>0.0467151745228303</v>
      </c>
      <c r="M5" s="11" t="n">
        <f aca="false">IFERROR(G5/F5,0)</f>
        <v>0.338944146901301</v>
      </c>
      <c r="N5" s="10" t="n">
        <f aca="false">IFERROR(E5/F5,0)</f>
        <v>11.6697781074047</v>
      </c>
      <c r="O5" s="10" t="n">
        <f aca="false">IFERROR(E5/G5,0)</f>
        <v>34.4297968089797</v>
      </c>
      <c r="P5" s="11" t="n">
        <f aca="false">IFERROR(E5/E$9,0)</f>
        <v>0.259813307898409</v>
      </c>
      <c r="Q5" s="11" t="n">
        <f aca="false">IFERROR(G5/G$9,0)</f>
        <v>0.441674975074776</v>
      </c>
      <c r="R5" s="12" t="n">
        <f aca="false">IFERROR(Q5/P5,0)</f>
        <v>1.69997056212178</v>
      </c>
    </row>
    <row r="6" customFormat="false" ht="15" hidden="false" customHeight="false" outlineLevel="0" collapsed="false">
      <c r="A6" s="6" t="s">
        <v>58</v>
      </c>
      <c r="B6" s="5" t="n">
        <f aca="false">COUNTIFS(Data!$D$2:$D$937,$A6)</f>
        <v>211</v>
      </c>
      <c r="C6" s="5" t="n">
        <f aca="false">SUMIFS(Data!$G$2:$G$937,Data!$D$2:$D$937,$A6)</f>
        <v>42021238</v>
      </c>
      <c r="D6" s="5" t="n">
        <f aca="false">SUMIFS(Data!$H$2:$H$937,Data!$D$2:$D$937,$A6)</f>
        <v>7094</v>
      </c>
      <c r="E6" s="7" t="n">
        <f aca="false">SUMIFS(Data!$I$2:$I$937,Data!$D$2:$D$937,$A6)</f>
        <v>11112.429994335</v>
      </c>
      <c r="F6" s="5" t="n">
        <f aca="false">SUMIFS(Data!$J$2:$J$937,Data!$D$2:$D$937,$A6)</f>
        <v>591</v>
      </c>
      <c r="G6" s="5" t="n">
        <f aca="false">SUMIFS(Data!$K$2:$K$937,Data!$D$2:$D$937,$A6)</f>
        <v>199</v>
      </c>
      <c r="H6" s="8" t="n">
        <f aca="false">IFERROR(D6/C6,0)</f>
        <v>0.000168819395563739</v>
      </c>
      <c r="I6" s="9" t="n">
        <f aca="false">IFERROR(E6/C6*1000,0)</f>
        <v>0.264447944021426</v>
      </c>
      <c r="J6" s="10" t="n">
        <f aca="false">IFERROR(E6/D6,0)</f>
        <v>1.56645474969481</v>
      </c>
      <c r="K6" s="11" t="n">
        <f aca="false">IFERROR(F6/D6,0)</f>
        <v>0.0833098393008176</v>
      </c>
      <c r="L6" s="11" t="n">
        <f aca="false">IFERROR(G6/D6,0)</f>
        <v>0.0280518748237948</v>
      </c>
      <c r="M6" s="11" t="n">
        <f aca="false">IFERROR(G6/F6,0)</f>
        <v>0.336717428087986</v>
      </c>
      <c r="N6" s="10" t="n">
        <f aca="false">IFERROR(E6/F6,0)</f>
        <v>18.8027580276396</v>
      </c>
      <c r="O6" s="10" t="n">
        <f aca="false">IFERROR(E6/G6,0)</f>
        <v>55.8413567554523</v>
      </c>
      <c r="P6" s="11" t="n">
        <f aca="false">IFERROR(E6/E$9,0)</f>
        <v>0.189291993272941</v>
      </c>
      <c r="Q6" s="11" t="n">
        <f aca="false">IFERROR(G6/G$9,0)</f>
        <v>0.198404785643071</v>
      </c>
      <c r="R6" s="12" t="n">
        <f aca="false">IFERROR(Q6/P6,0)</f>
        <v>1.04814145708208</v>
      </c>
    </row>
    <row r="7" customFormat="false" ht="15" hidden="false" customHeight="false" outlineLevel="0" collapsed="false">
      <c r="A7" s="6" t="s">
        <v>59</v>
      </c>
      <c r="B7" s="5" t="n">
        <f aca="false">COUNTIFS(Data!$D$2:$D$937,$A7)</f>
        <v>187</v>
      </c>
      <c r="C7" s="5" t="n">
        <f aca="false">SUMIFS(Data!$G$2:$G$937,Data!$D$2:$D$937,$A7)</f>
        <v>39551158</v>
      </c>
      <c r="D7" s="5" t="n">
        <f aca="false">SUMIFS(Data!$H$2:$H$937,Data!$D$2:$D$937,$A7)</f>
        <v>7736</v>
      </c>
      <c r="E7" s="7" t="n">
        <f aca="false">SUMIFS(Data!$I$2:$I$937,Data!$D$2:$D$937,$A7)</f>
        <v>11589.729980838</v>
      </c>
      <c r="F7" s="5" t="n">
        <f aca="false">SUMIFS(Data!$J$2:$J$937,Data!$D$2:$D$937,$A7)</f>
        <v>499</v>
      </c>
      <c r="G7" s="5" t="n">
        <f aca="false">SUMIFS(Data!$K$2:$K$937,Data!$D$2:$D$937,$A7)</f>
        <v>162</v>
      </c>
      <c r="H7" s="8" t="n">
        <f aca="false">IFERROR(D7/C7,0)</f>
        <v>0.00019559477879257</v>
      </c>
      <c r="I7" s="9" t="n">
        <f aca="false">IFERROR(E7/C7*1000,0)</f>
        <v>0.293031369165929</v>
      </c>
      <c r="J7" s="10" t="n">
        <f aca="false">IFERROR(E7/D7,0)</f>
        <v>1.49815537497906</v>
      </c>
      <c r="K7" s="11" t="n">
        <f aca="false">IFERROR(F7/D7,0)</f>
        <v>0.0645036194415719</v>
      </c>
      <c r="L7" s="11" t="n">
        <f aca="false">IFERROR(G7/D7,0)</f>
        <v>0.0209410548086867</v>
      </c>
      <c r="M7" s="11" t="n">
        <f aca="false">IFERROR(G7/F7,0)</f>
        <v>0.324649298597194</v>
      </c>
      <c r="N7" s="10" t="n">
        <f aca="false">IFERROR(E7/F7,0)</f>
        <v>23.2259117852465</v>
      </c>
      <c r="O7" s="10" t="n">
        <f aca="false">IFERROR(E7/G7,0)</f>
        <v>71.5415430915926</v>
      </c>
      <c r="P7" s="11" t="n">
        <f aca="false">IFERROR(E7/E$9,0)</f>
        <v>0.197422444117658</v>
      </c>
      <c r="Q7" s="11" t="n">
        <f aca="false">IFERROR(G7/G$9,0)</f>
        <v>0.161515453639083</v>
      </c>
      <c r="R7" s="12" t="n">
        <f aca="false">IFERROR(Q7/P7,0)</f>
        <v>0.818121031582529</v>
      </c>
    </row>
    <row r="8" customFormat="false" ht="15" hidden="false" customHeight="false" outlineLevel="0" collapsed="false">
      <c r="A8" s="6" t="s">
        <v>60</v>
      </c>
      <c r="B8" s="5" t="n">
        <f aca="false">COUNTIFS(Data!$D$2:$D$937,$A8)</f>
        <v>231</v>
      </c>
      <c r="C8" s="5" t="n">
        <f aca="false">SUMIFS(Data!$G$2:$G$937,Data!$D$2:$D$937,$A8)</f>
        <v>63699120</v>
      </c>
      <c r="D8" s="5" t="n">
        <f aca="false">SUMIFS(Data!$H$2:$H$937,Data!$D$2:$D$937,$A8)</f>
        <v>13852</v>
      </c>
      <c r="E8" s="7" t="n">
        <f aca="false">SUMIFS(Data!$I$2:$I$937,Data!$D$2:$D$937,$A8)</f>
        <v>20750.669996654</v>
      </c>
      <c r="F8" s="5" t="n">
        <f aca="false">SUMIFS(Data!$J$2:$J$937,Data!$D$2:$D$937,$A8)</f>
        <v>655</v>
      </c>
      <c r="G8" s="5" t="n">
        <f aca="false">SUMIFS(Data!$K$2:$K$937,Data!$D$2:$D$937,$A8)</f>
        <v>199</v>
      </c>
      <c r="H8" s="8" t="n">
        <f aca="false">IFERROR(D8/C8,0)</f>
        <v>0.00021745983304008</v>
      </c>
      <c r="I8" s="9" t="n">
        <f aca="false">IFERROR(E8/C8*1000,0)</f>
        <v>0.325760701194208</v>
      </c>
      <c r="J8" s="10" t="n">
        <f aca="false">IFERROR(E8/D8,0)</f>
        <v>1.49802699946968</v>
      </c>
      <c r="K8" s="11" t="n">
        <f aca="false">IFERROR(F8/D8,0)</f>
        <v>0.0472855905284436</v>
      </c>
      <c r="L8" s="11" t="n">
        <f aca="false">IFERROR(G8/D8,0)</f>
        <v>0.0143661565116951</v>
      </c>
      <c r="M8" s="11" t="n">
        <f aca="false">IFERROR(G8/F8,0)</f>
        <v>0.30381679389313</v>
      </c>
      <c r="N8" s="10" t="n">
        <f aca="false">IFERROR(E8/F8,0)</f>
        <v>31.6804122086321</v>
      </c>
      <c r="O8" s="10" t="n">
        <f aca="false">IFERROR(E8/G8,0)</f>
        <v>104.274723601276</v>
      </c>
      <c r="P8" s="11" t="n">
        <f aca="false">IFERROR(E8/E$9,0)</f>
        <v>0.353472254710992</v>
      </c>
      <c r="Q8" s="11" t="n">
        <f aca="false">IFERROR(G8/G$9,0)</f>
        <v>0.198404785643071</v>
      </c>
      <c r="R8" s="12" t="n">
        <f aca="false">IFERROR(Q8/P8,0)</f>
        <v>0.561302288931536</v>
      </c>
    </row>
    <row r="9" customFormat="false" ht="15" hidden="false" customHeight="false" outlineLevel="0" collapsed="false">
      <c r="A9" s="13" t="s">
        <v>53</v>
      </c>
      <c r="B9" s="14" t="n">
        <f aca="false">SUM(B5:B8)</f>
        <v>936</v>
      </c>
      <c r="C9" s="14" t="n">
        <f aca="false">SUM(C5:C8)</f>
        <v>212945947</v>
      </c>
      <c r="D9" s="14" t="n">
        <f aca="false">SUM(D5:D8)</f>
        <v>38165</v>
      </c>
      <c r="E9" s="15" t="n">
        <f aca="false">SUM(E5:E8)</f>
        <v>58705.229958205</v>
      </c>
      <c r="F9" s="14" t="n">
        <f aca="false">SUM(F5:F8)</f>
        <v>3052</v>
      </c>
      <c r="G9" s="14" t="n">
        <f aca="false">SUM(G5:G8)</f>
        <v>1003</v>
      </c>
      <c r="H9" s="16" t="n">
        <f aca="false">IFERROR(D9/C9,0)</f>
        <v>0.00017922388539285</v>
      </c>
      <c r="I9" s="17" t="n">
        <f aca="false">IFERROR(E9/C9*1000,0)</f>
        <v>0.275681367902273</v>
      </c>
      <c r="J9" s="18" t="n">
        <f aca="false">IFERROR(E9/D9,0)</f>
        <v>1.53819546595585</v>
      </c>
      <c r="K9" s="19" t="n">
        <f aca="false">IFERROR(F9/D9,0)</f>
        <v>0.0799685575789336</v>
      </c>
      <c r="L9" s="19" t="n">
        <f aca="false">IFERROR(G9/D9,0)</f>
        <v>0.0262806236080178</v>
      </c>
      <c r="M9" s="19" t="n">
        <f aca="false">IFERROR(G9/F9,0)</f>
        <v>0.328636959370904</v>
      </c>
      <c r="N9" s="18" t="n">
        <f aca="false">IFERROR(E9/F9,0)</f>
        <v>19.2350032628457</v>
      </c>
      <c r="O9" s="18" t="n">
        <f aca="false">IFERROR(E9/G9,0)</f>
        <v>58.5296410350997</v>
      </c>
      <c r="P9" s="19" t="n">
        <f aca="false">IFERROR(E9/E$9,0)</f>
        <v>1</v>
      </c>
      <c r="Q9" s="19" t="n">
        <f aca="false">IFERROR(G9/G$9,0)</f>
        <v>1</v>
      </c>
      <c r="R9" s="20" t="n">
        <f aca="false">IFERROR(Q9/P9,0)</f>
        <v>1</v>
      </c>
    </row>
    <row r="11" customFormat="false" ht="15" hidden="false" customHeight="false" outlineLevel="0" collapsed="false">
      <c r="A11" s="2" t="s">
        <v>54</v>
      </c>
    </row>
  </sheetData>
  <conditionalFormatting sqref="O5:O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5:R8">
    <cfRule type="colorScale" priority="3">
      <colorScale>
        <cfvo type="min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18" min="5" style="0" width="14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3" t="s">
        <v>62</v>
      </c>
      <c r="B4" s="3" t="s">
        <v>5</v>
      </c>
      <c r="C4" s="3" t="s">
        <v>9</v>
      </c>
      <c r="D4" s="3" t="s">
        <v>11</v>
      </c>
      <c r="E4" s="3" t="s">
        <v>13</v>
      </c>
      <c r="F4" s="3" t="s">
        <v>47</v>
      </c>
      <c r="G4" s="3" t="s">
        <v>48</v>
      </c>
      <c r="H4" s="3" t="s">
        <v>19</v>
      </c>
      <c r="I4" s="3" t="s">
        <v>21</v>
      </c>
      <c r="J4" s="3" t="s">
        <v>23</v>
      </c>
      <c r="K4" s="3" t="s">
        <v>49</v>
      </c>
      <c r="L4" s="3" t="s">
        <v>27</v>
      </c>
      <c r="M4" s="3" t="s">
        <v>29</v>
      </c>
      <c r="N4" s="3" t="s">
        <v>31</v>
      </c>
      <c r="O4" s="3" t="s">
        <v>33</v>
      </c>
      <c r="P4" s="3" t="s">
        <v>50</v>
      </c>
      <c r="Q4" s="3" t="s">
        <v>51</v>
      </c>
      <c r="R4" s="3" t="s">
        <v>52</v>
      </c>
    </row>
    <row r="5" customFormat="false" ht="15" hidden="false" customHeight="false" outlineLevel="0" collapsed="false">
      <c r="A5" s="6" t="s">
        <v>63</v>
      </c>
      <c r="B5" s="5" t="n">
        <f aca="false">COUNTIFS(Data!$E$2:$E$937,$A5)</f>
        <v>463</v>
      </c>
      <c r="C5" s="5" t="n">
        <f aca="false">SUMIFS(Data!$G$2:$G$937,Data!$E$2:$E$937,$A5)</f>
        <v>114707607</v>
      </c>
      <c r="D5" s="5" t="n">
        <f aca="false">SUMIFS(Data!$H$2:$H$937,Data!$E$2:$E$937,$A5)</f>
        <v>23878</v>
      </c>
      <c r="E5" s="7" t="n">
        <f aca="false">SUMIFS(Data!$I$2:$I$937,Data!$E$2:$E$937,$A5)</f>
        <v>34502.619963368</v>
      </c>
      <c r="F5" s="5" t="n">
        <f aca="false">SUMIFS(Data!$J$2:$J$937,Data!$E$2:$E$937,$A5)</f>
        <v>1557</v>
      </c>
      <c r="G5" s="5" t="n">
        <f aca="false">SUMIFS(Data!$K$2:$K$937,Data!$E$2:$E$937,$A5)</f>
        <v>467</v>
      </c>
      <c r="H5" s="8" t="n">
        <f aca="false">IFERROR(D5/C5,0)</f>
        <v>0.00020816404966063</v>
      </c>
      <c r="I5" s="9" t="n">
        <f aca="false">IFERROR(E5/C5*1000,0)</f>
        <v>0.300787549019029</v>
      </c>
      <c r="J5" s="10" t="n">
        <f aca="false">IFERROR(E5/D5,0)</f>
        <v>1.44495434975157</v>
      </c>
      <c r="K5" s="11" t="n">
        <f aca="false">IFERROR(F5/D5,0)</f>
        <v>0.0652064662031996</v>
      </c>
      <c r="L5" s="11" t="n">
        <f aca="false">IFERROR(G5/D5,0)</f>
        <v>0.0195577519055197</v>
      </c>
      <c r="M5" s="11" t="n">
        <f aca="false">IFERROR(G5/F5,0)</f>
        <v>0.299935773924213</v>
      </c>
      <c r="N5" s="10" t="n">
        <f aca="false">IFERROR(E5/F5,0)</f>
        <v>22.1596788460938</v>
      </c>
      <c r="O5" s="10" t="n">
        <f aca="false">IFERROR(E5/G5,0)</f>
        <v>73.8814131977902</v>
      </c>
      <c r="P5" s="11" t="n">
        <f aca="false">IFERROR(E5/E$7,0)</f>
        <v>0.587726510703255</v>
      </c>
      <c r="Q5" s="11" t="n">
        <f aca="false">IFERROR(G5/G$7,0)</f>
        <v>0.465603190428714</v>
      </c>
      <c r="R5" s="12" t="n">
        <f aca="false">IFERROR(Q5/P5,0)</f>
        <v>0.792210631900181</v>
      </c>
    </row>
    <row r="6" customFormat="false" ht="15" hidden="false" customHeight="false" outlineLevel="0" collapsed="false">
      <c r="A6" s="6" t="s">
        <v>64</v>
      </c>
      <c r="B6" s="5" t="n">
        <f aca="false">COUNTIFS(Data!$E$2:$E$937,$A6)</f>
        <v>473</v>
      </c>
      <c r="C6" s="5" t="n">
        <f aca="false">SUMIFS(Data!$G$2:$G$937,Data!$E$2:$E$937,$A6)</f>
        <v>98238340</v>
      </c>
      <c r="D6" s="5" t="n">
        <f aca="false">SUMIFS(Data!$H$2:$H$937,Data!$E$2:$E$937,$A6)</f>
        <v>14287</v>
      </c>
      <c r="E6" s="7" t="n">
        <f aca="false">SUMIFS(Data!$I$2:$I$937,Data!$E$2:$E$937,$A6)</f>
        <v>24202.609994837</v>
      </c>
      <c r="F6" s="5" t="n">
        <f aca="false">SUMIFS(Data!$J$2:$J$937,Data!$E$2:$E$937,$A6)</f>
        <v>1495</v>
      </c>
      <c r="G6" s="5" t="n">
        <f aca="false">SUMIFS(Data!$K$2:$K$937,Data!$E$2:$E$937,$A6)</f>
        <v>536</v>
      </c>
      <c r="H6" s="8" t="n">
        <f aca="false">IFERROR(D6/C6,0)</f>
        <v>0.000145432017682709</v>
      </c>
      <c r="I6" s="9" t="n">
        <f aca="false">IFERROR(E6/C6*1000,0)</f>
        <v>0.246366235370396</v>
      </c>
      <c r="J6" s="10" t="n">
        <f aca="false">IFERROR(E6/D6,0)</f>
        <v>1.69403023691727</v>
      </c>
      <c r="K6" s="11" t="n">
        <f aca="false">IFERROR(F6/D6,0)</f>
        <v>0.104640582347589</v>
      </c>
      <c r="L6" s="11" t="n">
        <f aca="false">IFERROR(G6/D6,0)</f>
        <v>0.0375166235038847</v>
      </c>
      <c r="M6" s="11" t="n">
        <f aca="false">IFERROR(G6/F6,0)</f>
        <v>0.358528428093646</v>
      </c>
      <c r="N6" s="10" t="n">
        <f aca="false">IFERROR(E6/F6,0)</f>
        <v>16.1890367858441</v>
      </c>
      <c r="O6" s="10" t="n">
        <f aca="false">IFERROR(E6/G6,0)</f>
        <v>45.1541231246959</v>
      </c>
      <c r="P6" s="11" t="n">
        <f aca="false">IFERROR(E6/E$7,0)</f>
        <v>0.412273489296745</v>
      </c>
      <c r="Q6" s="11" t="n">
        <f aca="false">IFERROR(G6/G$7,0)</f>
        <v>0.534396809571286</v>
      </c>
      <c r="R6" s="12" t="n">
        <f aca="false">IFERROR(Q6/P6,0)</f>
        <v>1.29621919295092</v>
      </c>
    </row>
    <row r="7" customFormat="false" ht="15" hidden="false" customHeight="false" outlineLevel="0" collapsed="false">
      <c r="A7" s="13" t="s">
        <v>53</v>
      </c>
      <c r="B7" s="14" t="n">
        <f aca="false">SUM(B5:B6)</f>
        <v>936</v>
      </c>
      <c r="C7" s="14" t="n">
        <f aca="false">SUM(C5:C6)</f>
        <v>212945947</v>
      </c>
      <c r="D7" s="14" t="n">
        <f aca="false">SUM(D5:D6)</f>
        <v>38165</v>
      </c>
      <c r="E7" s="15" t="n">
        <f aca="false">SUM(E5:E6)</f>
        <v>58705.229958205</v>
      </c>
      <c r="F7" s="14" t="n">
        <f aca="false">SUM(F5:F6)</f>
        <v>3052</v>
      </c>
      <c r="G7" s="14" t="n">
        <f aca="false">SUM(G5:G6)</f>
        <v>1003</v>
      </c>
      <c r="H7" s="16" t="n">
        <f aca="false">IFERROR(D7/C7,0)</f>
        <v>0.00017922388539285</v>
      </c>
      <c r="I7" s="17" t="n">
        <f aca="false">IFERROR(E7/C7*1000,0)</f>
        <v>0.275681367902273</v>
      </c>
      <c r="J7" s="18" t="n">
        <f aca="false">IFERROR(E7/D7,0)</f>
        <v>1.53819546595585</v>
      </c>
      <c r="K7" s="19" t="n">
        <f aca="false">IFERROR(F7/D7,0)</f>
        <v>0.0799685575789336</v>
      </c>
      <c r="L7" s="19" t="n">
        <f aca="false">IFERROR(G7/D7,0)</f>
        <v>0.0262806236080178</v>
      </c>
      <c r="M7" s="19" t="n">
        <f aca="false">IFERROR(G7/F7,0)</f>
        <v>0.328636959370904</v>
      </c>
      <c r="N7" s="18" t="n">
        <f aca="false">IFERROR(E7/F7,0)</f>
        <v>19.2350032628457</v>
      </c>
      <c r="O7" s="18" t="n">
        <f aca="false">IFERROR(E7/G7,0)</f>
        <v>58.5296410350997</v>
      </c>
      <c r="P7" s="19" t="n">
        <f aca="false">IFERROR(E7/E$7,0)</f>
        <v>1</v>
      </c>
      <c r="Q7" s="19" t="n">
        <f aca="false">IFERROR(G7/G$7,0)</f>
        <v>1</v>
      </c>
      <c r="R7" s="20" t="n">
        <f aca="false">IFERROR(Q7/P7,0)</f>
        <v>1</v>
      </c>
    </row>
    <row r="9" customFormat="false" ht="15" hidden="false" customHeight="false" outlineLevel="0" collapsed="false">
      <c r="A9" s="2" t="s">
        <v>54</v>
      </c>
    </row>
  </sheetData>
  <conditionalFormatting sqref="O5:O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5:R6">
    <cfRule type="colorScale" priority="3">
      <colorScale>
        <cfvo type="min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19" min="6" style="0" width="14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3" t="s">
        <v>56</v>
      </c>
      <c r="B4" s="3" t="s">
        <v>62</v>
      </c>
      <c r="C4" s="3" t="s">
        <v>5</v>
      </c>
      <c r="D4" s="3" t="s">
        <v>9</v>
      </c>
      <c r="E4" s="3" t="s">
        <v>11</v>
      </c>
      <c r="F4" s="3" t="s">
        <v>13</v>
      </c>
      <c r="G4" s="3" t="s">
        <v>47</v>
      </c>
      <c r="H4" s="3" t="s">
        <v>48</v>
      </c>
      <c r="I4" s="3" t="s">
        <v>19</v>
      </c>
      <c r="J4" s="3" t="s">
        <v>21</v>
      </c>
      <c r="K4" s="3" t="s">
        <v>23</v>
      </c>
      <c r="L4" s="3" t="s">
        <v>49</v>
      </c>
      <c r="M4" s="3" t="s">
        <v>27</v>
      </c>
      <c r="N4" s="3" t="s">
        <v>29</v>
      </c>
      <c r="O4" s="3" t="s">
        <v>31</v>
      </c>
      <c r="P4" s="3" t="s">
        <v>33</v>
      </c>
      <c r="Q4" s="3" t="s">
        <v>50</v>
      </c>
      <c r="R4" s="3" t="s">
        <v>51</v>
      </c>
      <c r="S4" s="3" t="s">
        <v>52</v>
      </c>
    </row>
    <row r="5" customFormat="false" ht="15" hidden="false" customHeight="false" outlineLevel="0" collapsed="false">
      <c r="A5" s="6" t="s">
        <v>57</v>
      </c>
      <c r="B5" s="6" t="s">
        <v>63</v>
      </c>
      <c r="C5" s="5" t="n">
        <f aca="false">COUNTIFS(Data!$D$2:$D$937,$A5,Data!$E$2:$E$937,$B5)</f>
        <v>149</v>
      </c>
      <c r="D5" s="5" t="n">
        <f aca="false">SUMIFS(Data!$G$2:$G$937,Data!$D$2:$D$937,$A5,Data!$E$2:$E$937,$B5)</f>
        <v>31463353</v>
      </c>
      <c r="E5" s="5" t="n">
        <f aca="false">SUMIFS(Data!$H$2:$H$937,Data!$D$2:$D$937,$A5,Data!$E$2:$E$937,$B5)</f>
        <v>5099</v>
      </c>
      <c r="F5" s="7" t="n">
        <f aca="false">SUMIFS(Data!$I$2:$I$937,Data!$D$2:$D$937,$A5,Data!$E$2:$E$937,$B5)</f>
        <v>7611.479995127</v>
      </c>
      <c r="G5" s="5" t="n">
        <f aca="false">SUMIFS(Data!$J$2:$J$937,Data!$D$2:$D$937,$A5,Data!$E$2:$E$937,$B5)</f>
        <v>570</v>
      </c>
      <c r="H5" s="5" t="n">
        <f aca="false">SUMIFS(Data!$K$2:$K$937,Data!$D$2:$D$937,$A5,Data!$E$2:$E$937,$B5)</f>
        <v>180</v>
      </c>
      <c r="I5" s="8" t="n">
        <f aca="false">IFERROR(E5/D5,0)</f>
        <v>0.00016206155777485</v>
      </c>
      <c r="J5" s="9" t="n">
        <f aca="false">IFERROR(F5/D5*1000,0)</f>
        <v>0.241915729551361</v>
      </c>
      <c r="K5" s="10" t="n">
        <f aca="false">IFERROR(F5/E5,0)</f>
        <v>1.49273975193705</v>
      </c>
      <c r="L5" s="11" t="n">
        <f aca="false">IFERROR(G5/E5,0)</f>
        <v>0.111786624828398</v>
      </c>
      <c r="M5" s="11" t="n">
        <f aca="false">IFERROR(H5/E5,0)</f>
        <v>0.035301039419494</v>
      </c>
      <c r="N5" s="11" t="n">
        <f aca="false">IFERROR(H5/G5,0)</f>
        <v>0.315789473684211</v>
      </c>
      <c r="O5" s="10" t="n">
        <f aca="false">IFERROR(F5/G5,0)</f>
        <v>13.3534736756614</v>
      </c>
      <c r="P5" s="10" t="n">
        <f aca="false">IFERROR(F5/H5,0)</f>
        <v>42.2859999729278</v>
      </c>
      <c r="Q5" s="11" t="n">
        <f aca="false">IFERROR(F5/F$13,0)</f>
        <v>0.129655909712746</v>
      </c>
      <c r="R5" s="11" t="n">
        <f aca="false">IFERROR(H5/H$13,0)</f>
        <v>0.179461615154536</v>
      </c>
      <c r="S5" s="12" t="n">
        <f aca="false">IFERROR(R5/Q5,0)</f>
        <v>1.38413756497591</v>
      </c>
    </row>
    <row r="6" customFormat="false" ht="15" hidden="false" customHeight="false" outlineLevel="0" collapsed="false">
      <c r="A6" s="6" t="s">
        <v>57</v>
      </c>
      <c r="B6" s="6" t="s">
        <v>64</v>
      </c>
      <c r="C6" s="5" t="n">
        <f aca="false">COUNTIFS(Data!$D$2:$D$937,$A6,Data!$E$2:$E$937,$B6)</f>
        <v>158</v>
      </c>
      <c r="D6" s="5" t="n">
        <f aca="false">SUMIFS(Data!$G$2:$G$937,Data!$D$2:$D$937,$A6,Data!$E$2:$E$937,$B6)</f>
        <v>36211078</v>
      </c>
      <c r="E6" s="5" t="n">
        <f aca="false">SUMIFS(Data!$H$2:$H$937,Data!$D$2:$D$937,$A6,Data!$E$2:$E$937,$B6)</f>
        <v>4384</v>
      </c>
      <c r="F6" s="7" t="n">
        <f aca="false">SUMIFS(Data!$I$2:$I$937,Data!$D$2:$D$937,$A6,Data!$E$2:$E$937,$B6)</f>
        <v>7640.919991251</v>
      </c>
      <c r="G6" s="5" t="n">
        <f aca="false">SUMIFS(Data!$J$2:$J$937,Data!$D$2:$D$937,$A6,Data!$E$2:$E$937,$B6)</f>
        <v>737</v>
      </c>
      <c r="H6" s="5" t="n">
        <f aca="false">SUMIFS(Data!$K$2:$K$937,Data!$D$2:$D$937,$A6,Data!$E$2:$E$937,$B6)</f>
        <v>263</v>
      </c>
      <c r="I6" s="8" t="n">
        <f aca="false">IFERROR(E6/D6,0)</f>
        <v>0.000121067922915744</v>
      </c>
      <c r="J6" s="9" t="n">
        <f aca="false">IFERROR(F6/D6*1000,0)</f>
        <v>0.211010563984066</v>
      </c>
      <c r="K6" s="10" t="n">
        <f aca="false">IFERROR(F6/E6,0)</f>
        <v>1.74291058194594</v>
      </c>
      <c r="L6" s="11" t="n">
        <f aca="false">IFERROR(G6/E6,0)</f>
        <v>0.168111313868613</v>
      </c>
      <c r="M6" s="11" t="n">
        <f aca="false">IFERROR(H6/E6,0)</f>
        <v>0.0599908759124088</v>
      </c>
      <c r="N6" s="11" t="n">
        <f aca="false">IFERROR(H6/G6,0)</f>
        <v>0.35685210312076</v>
      </c>
      <c r="O6" s="10" t="n">
        <f aca="false">IFERROR(F6/G6,0)</f>
        <v>10.3675983599064</v>
      </c>
      <c r="P6" s="10" t="n">
        <f aca="false">IFERROR(F6/H6,0)</f>
        <v>29.0529277233878</v>
      </c>
      <c r="Q6" s="11" t="n">
        <f aca="false">IFERROR(F6/F$13,0)</f>
        <v>0.130157398185663</v>
      </c>
      <c r="R6" s="11" t="n">
        <f aca="false">IFERROR(H6/H$13,0)</f>
        <v>0.262213359920239</v>
      </c>
      <c r="S6" s="12" t="n">
        <f aca="false">IFERROR(R6/Q6,0)</f>
        <v>2.01458667409904</v>
      </c>
    </row>
    <row r="7" customFormat="false" ht="15" hidden="false" customHeight="false" outlineLevel="0" collapsed="false">
      <c r="A7" s="6" t="s">
        <v>58</v>
      </c>
      <c r="B7" s="6" t="s">
        <v>63</v>
      </c>
      <c r="C7" s="5" t="n">
        <f aca="false">COUNTIFS(Data!$D$2:$D$937,$A7,Data!$E$2:$E$937,$B7)</f>
        <v>93</v>
      </c>
      <c r="D7" s="5" t="n">
        <f aca="false">SUMIFS(Data!$G$2:$G$937,Data!$D$2:$D$937,$A7,Data!$E$2:$E$937,$B7)</f>
        <v>21420120</v>
      </c>
      <c r="E7" s="5" t="n">
        <f aca="false">SUMIFS(Data!$H$2:$H$937,Data!$D$2:$D$937,$A7,Data!$E$2:$E$937,$B7)</f>
        <v>4161</v>
      </c>
      <c r="F7" s="7" t="n">
        <f aca="false">SUMIFS(Data!$I$2:$I$937,Data!$D$2:$D$937,$A7,Data!$E$2:$E$937,$B7)</f>
        <v>6061.349991827</v>
      </c>
      <c r="G7" s="5" t="n">
        <f aca="false">SUMIFS(Data!$J$2:$J$937,Data!$D$2:$D$937,$A7,Data!$E$2:$E$937,$B7)</f>
        <v>290</v>
      </c>
      <c r="H7" s="5" t="n">
        <f aca="false">SUMIFS(Data!$K$2:$K$937,Data!$D$2:$D$937,$A7,Data!$E$2:$E$937,$B7)</f>
        <v>90</v>
      </c>
      <c r="I7" s="8" t="n">
        <f aca="false">IFERROR(E7/D7,0)</f>
        <v>0.000194256614808881</v>
      </c>
      <c r="J7" s="9" t="n">
        <f aca="false">IFERROR(F7/D7*1000,0)</f>
        <v>0.282974604802728</v>
      </c>
      <c r="K7" s="10" t="n">
        <f aca="false">IFERROR(F7/E7,0)</f>
        <v>1.4567051169976</v>
      </c>
      <c r="L7" s="11" t="n">
        <f aca="false">IFERROR(G7/E7,0)</f>
        <v>0.0696947849074742</v>
      </c>
      <c r="M7" s="11" t="n">
        <f aca="false">IFERROR(H7/E7,0)</f>
        <v>0.0216294160057678</v>
      </c>
      <c r="N7" s="11" t="n">
        <f aca="false">IFERROR(H7/G7,0)</f>
        <v>0.310344827586207</v>
      </c>
      <c r="O7" s="10" t="n">
        <f aca="false">IFERROR(F7/G7,0)</f>
        <v>20.901206868369</v>
      </c>
      <c r="P7" s="10" t="n">
        <f aca="false">IFERROR(F7/H7,0)</f>
        <v>67.3483332425222</v>
      </c>
      <c r="Q7" s="11" t="n">
        <f aca="false">IFERROR(F7/F$13,0)</f>
        <v>0.103250596175883</v>
      </c>
      <c r="R7" s="11" t="n">
        <f aca="false">IFERROR(H7/H$13,0)</f>
        <v>0.0897308075772682</v>
      </c>
      <c r="S7" s="12" t="n">
        <f aca="false">IFERROR(R7/Q7,0)</f>
        <v>0.869058493613104</v>
      </c>
    </row>
    <row r="8" customFormat="false" ht="15" hidden="false" customHeight="false" outlineLevel="0" collapsed="false">
      <c r="A8" s="6" t="s">
        <v>58</v>
      </c>
      <c r="B8" s="6" t="s">
        <v>64</v>
      </c>
      <c r="C8" s="5" t="n">
        <f aca="false">COUNTIFS(Data!$D$2:$D$937,$A8,Data!$E$2:$E$937,$B8)</f>
        <v>118</v>
      </c>
      <c r="D8" s="5" t="n">
        <f aca="false">SUMIFS(Data!$G$2:$G$937,Data!$D$2:$D$937,$A8,Data!$E$2:$E$937,$B8)</f>
        <v>20601118</v>
      </c>
      <c r="E8" s="5" t="n">
        <f aca="false">SUMIFS(Data!$H$2:$H$937,Data!$D$2:$D$937,$A8,Data!$E$2:$E$937,$B8)</f>
        <v>2933</v>
      </c>
      <c r="F8" s="7" t="n">
        <f aca="false">SUMIFS(Data!$I$2:$I$937,Data!$D$2:$D$937,$A8,Data!$E$2:$E$937,$B8)</f>
        <v>5051.080002508</v>
      </c>
      <c r="G8" s="5" t="n">
        <f aca="false">SUMIFS(Data!$J$2:$J$937,Data!$D$2:$D$937,$A8,Data!$E$2:$E$937,$B8)</f>
        <v>301</v>
      </c>
      <c r="H8" s="5" t="n">
        <f aca="false">SUMIFS(Data!$K$2:$K$937,Data!$D$2:$D$937,$A8,Data!$E$2:$E$937,$B8)</f>
        <v>109</v>
      </c>
      <c r="I8" s="8" t="n">
        <f aca="false">IFERROR(E8/D8,0)</f>
        <v>0.000142370914044568</v>
      </c>
      <c r="J8" s="9" t="n">
        <f aca="false">IFERROR(F8/D8*1000,0)</f>
        <v>0.245184751745415</v>
      </c>
      <c r="K8" s="10" t="n">
        <f aca="false">IFERROR(F8/E8,0)</f>
        <v>1.72215479117218</v>
      </c>
      <c r="L8" s="11" t="n">
        <f aca="false">IFERROR(G8/E8,0)</f>
        <v>0.102625298329356</v>
      </c>
      <c r="M8" s="11" t="n">
        <f aca="false">IFERROR(H8/E8,0)</f>
        <v>0.037163314012956</v>
      </c>
      <c r="N8" s="11" t="n">
        <f aca="false">IFERROR(H8/G8,0)</f>
        <v>0.362126245847176</v>
      </c>
      <c r="O8" s="10" t="n">
        <f aca="false">IFERROR(F8/G8,0)</f>
        <v>16.7809966860731</v>
      </c>
      <c r="P8" s="10" t="n">
        <f aca="false">IFERROR(F8/H8,0)</f>
        <v>46.3401835092477</v>
      </c>
      <c r="Q8" s="11" t="n">
        <f aca="false">IFERROR(F8/F$13,0)</f>
        <v>0.0860413970970576</v>
      </c>
      <c r="R8" s="11" t="n">
        <f aca="false">IFERROR(H8/H$13,0)</f>
        <v>0.108673978065803</v>
      </c>
      <c r="S8" s="12" t="n">
        <f aca="false">IFERROR(R8/Q8,0)</f>
        <v>1.26304292738546</v>
      </c>
    </row>
    <row r="9" customFormat="false" ht="15" hidden="false" customHeight="false" outlineLevel="0" collapsed="false">
      <c r="A9" s="6" t="s">
        <v>59</v>
      </c>
      <c r="B9" s="6" t="s">
        <v>63</v>
      </c>
      <c r="C9" s="5" t="n">
        <f aca="false">COUNTIFS(Data!$D$2:$D$937,$A9,Data!$E$2:$E$937,$B9)</f>
        <v>95</v>
      </c>
      <c r="D9" s="5" t="n">
        <f aca="false">SUMIFS(Data!$G$2:$G$937,Data!$D$2:$D$937,$A9,Data!$E$2:$E$937,$B9)</f>
        <v>23386170</v>
      </c>
      <c r="E9" s="5" t="n">
        <f aca="false">SUMIFS(Data!$H$2:$H$937,Data!$D$2:$D$937,$A9,Data!$E$2:$E$937,$B9)</f>
        <v>5177</v>
      </c>
      <c r="F9" s="7" t="n">
        <f aca="false">SUMIFS(Data!$I$2:$I$937,Data!$D$2:$D$937,$A9,Data!$E$2:$E$937,$B9)</f>
        <v>7396.579983637</v>
      </c>
      <c r="G9" s="5" t="n">
        <f aca="false">SUMIFS(Data!$J$2:$J$937,Data!$D$2:$D$937,$A9,Data!$E$2:$E$937,$B9)</f>
        <v>310</v>
      </c>
      <c r="H9" s="5" t="n">
        <f aca="false">SUMIFS(Data!$K$2:$K$937,Data!$D$2:$D$937,$A9,Data!$E$2:$E$937,$B9)</f>
        <v>89</v>
      </c>
      <c r="I9" s="8" t="n">
        <f aca="false">IFERROR(E9/D9,0)</f>
        <v>0.000221370151675114</v>
      </c>
      <c r="J9" s="9" t="n">
        <f aca="false">IFERROR(F9/D9*1000,0)</f>
        <v>0.316280091337615</v>
      </c>
      <c r="K9" s="10" t="n">
        <f aca="false">IFERROR(F9/E9,0)</f>
        <v>1.42873864856809</v>
      </c>
      <c r="L9" s="11" t="n">
        <f aca="false">IFERROR(G9/E9,0)</f>
        <v>0.0598802395209581</v>
      </c>
      <c r="M9" s="11" t="n">
        <f aca="false">IFERROR(H9/E9,0)</f>
        <v>0.0171914236044041</v>
      </c>
      <c r="N9" s="11" t="n">
        <f aca="false">IFERROR(H9/G9,0)</f>
        <v>0.287096774193548</v>
      </c>
      <c r="O9" s="10" t="n">
        <f aca="false">IFERROR(F9/G9,0)</f>
        <v>23.8599354310871</v>
      </c>
      <c r="P9" s="10" t="n">
        <f aca="false">IFERROR(F9/H9,0)</f>
        <v>83.1076402655843</v>
      </c>
      <c r="Q9" s="11" t="n">
        <f aca="false">IFERROR(F9/F$13,0)</f>
        <v>0.125995247593834</v>
      </c>
      <c r="R9" s="11" t="n">
        <f aca="false">IFERROR(H9/H$13,0)</f>
        <v>0.0887337986041874</v>
      </c>
      <c r="S9" s="12" t="n">
        <f aca="false">IFERROR(R9/Q9,0)</f>
        <v>0.70426305990711</v>
      </c>
    </row>
    <row r="10" customFormat="false" ht="15" hidden="false" customHeight="false" outlineLevel="0" collapsed="false">
      <c r="A10" s="6" t="s">
        <v>59</v>
      </c>
      <c r="B10" s="6" t="s">
        <v>64</v>
      </c>
      <c r="C10" s="5" t="n">
        <f aca="false">COUNTIFS(Data!$D$2:$D$937,$A10,Data!$E$2:$E$937,$B10)</f>
        <v>92</v>
      </c>
      <c r="D10" s="5" t="n">
        <f aca="false">SUMIFS(Data!$G$2:$G$937,Data!$D$2:$D$937,$A10,Data!$E$2:$E$937,$B10)</f>
        <v>16164988</v>
      </c>
      <c r="E10" s="5" t="n">
        <f aca="false">SUMIFS(Data!$H$2:$H$937,Data!$D$2:$D$937,$A10,Data!$E$2:$E$937,$B10)</f>
        <v>2559</v>
      </c>
      <c r="F10" s="7" t="n">
        <f aca="false">SUMIFS(Data!$I$2:$I$937,Data!$D$2:$D$937,$A10,Data!$E$2:$E$937,$B10)</f>
        <v>4193.149997201</v>
      </c>
      <c r="G10" s="5" t="n">
        <f aca="false">SUMIFS(Data!$J$2:$J$937,Data!$D$2:$D$937,$A10,Data!$E$2:$E$937,$B10)</f>
        <v>189</v>
      </c>
      <c r="H10" s="5" t="n">
        <f aca="false">SUMIFS(Data!$K$2:$K$937,Data!$D$2:$D$937,$A10,Data!$E$2:$E$937,$B10)</f>
        <v>73</v>
      </c>
      <c r="I10" s="8" t="n">
        <f aca="false">IFERROR(E10/D10,0)</f>
        <v>0.000158305097411764</v>
      </c>
      <c r="J10" s="9" t="n">
        <f aca="false">IFERROR(F10/D10*1000,0)</f>
        <v>0.259397037424401</v>
      </c>
      <c r="K10" s="10" t="n">
        <f aca="false">IFERROR(F10/E10,0)</f>
        <v>1.63858929159867</v>
      </c>
      <c r="L10" s="11" t="n">
        <f aca="false">IFERROR(G10/E10,0)</f>
        <v>0.0738569753810082</v>
      </c>
      <c r="M10" s="11" t="n">
        <f aca="false">IFERROR(H10/E10,0)</f>
        <v>0.028526768268855</v>
      </c>
      <c r="N10" s="11" t="n">
        <f aca="false">IFERROR(H10/G10,0)</f>
        <v>0.386243386243386</v>
      </c>
      <c r="O10" s="10" t="n">
        <f aca="false">IFERROR(F10/G10,0)</f>
        <v>22.1859788211693</v>
      </c>
      <c r="P10" s="10" t="n">
        <f aca="false">IFERROR(F10/H10,0)</f>
        <v>57.4404109205616</v>
      </c>
      <c r="Q10" s="11" t="n">
        <f aca="false">IFERROR(F10/F$13,0)</f>
        <v>0.0714271965238242</v>
      </c>
      <c r="R10" s="11" t="n">
        <f aca="false">IFERROR(H10/H$13,0)</f>
        <v>0.0727816550348953</v>
      </c>
      <c r="S10" s="12" t="n">
        <f aca="false">IFERROR(R10/Q10,0)</f>
        <v>1.0189627841633</v>
      </c>
    </row>
    <row r="11" customFormat="false" ht="15" hidden="false" customHeight="false" outlineLevel="0" collapsed="false">
      <c r="A11" s="6" t="s">
        <v>60</v>
      </c>
      <c r="B11" s="6" t="s">
        <v>63</v>
      </c>
      <c r="C11" s="5" t="n">
        <f aca="false">COUNTIFS(Data!$D$2:$D$937,$A11,Data!$E$2:$E$937,$B11)</f>
        <v>126</v>
      </c>
      <c r="D11" s="5" t="n">
        <f aca="false">SUMIFS(Data!$G$2:$G$937,Data!$D$2:$D$937,$A11,Data!$E$2:$E$937,$B11)</f>
        <v>38437964</v>
      </c>
      <c r="E11" s="5" t="n">
        <f aca="false">SUMIFS(Data!$H$2:$H$937,Data!$D$2:$D$937,$A11,Data!$E$2:$E$937,$B11)</f>
        <v>9441</v>
      </c>
      <c r="F11" s="7" t="n">
        <f aca="false">SUMIFS(Data!$I$2:$I$937,Data!$D$2:$D$937,$A11,Data!$E$2:$E$937,$B11)</f>
        <v>13433.209992777</v>
      </c>
      <c r="G11" s="5" t="n">
        <f aca="false">SUMIFS(Data!$J$2:$J$937,Data!$D$2:$D$937,$A11,Data!$E$2:$E$937,$B11)</f>
        <v>387</v>
      </c>
      <c r="H11" s="5" t="n">
        <f aca="false">SUMIFS(Data!$K$2:$K$937,Data!$D$2:$D$937,$A11,Data!$E$2:$E$937,$B11)</f>
        <v>108</v>
      </c>
      <c r="I11" s="8" t="n">
        <f aca="false">IFERROR(E11/D11,0)</f>
        <v>0.000245616547223989</v>
      </c>
      <c r="J11" s="9" t="n">
        <f aca="false">IFERROR(F11/D11*1000,0)</f>
        <v>0.349477667255659</v>
      </c>
      <c r="K11" s="10" t="n">
        <f aca="false">IFERROR(F11/E11,0)</f>
        <v>1.42285880656466</v>
      </c>
      <c r="L11" s="11" t="n">
        <f aca="false">IFERROR(G11/E11,0)</f>
        <v>0.0409914204003813</v>
      </c>
      <c r="M11" s="11" t="n">
        <f aca="false">IFERROR(H11/E11,0)</f>
        <v>0.0114394661582459</v>
      </c>
      <c r="N11" s="11" t="n">
        <f aca="false">IFERROR(H11/G11,0)</f>
        <v>0.27906976744186</v>
      </c>
      <c r="O11" s="10" t="n">
        <f aca="false">IFERROR(F11/G11,0)</f>
        <v>34.7111369322403</v>
      </c>
      <c r="P11" s="10" t="n">
        <f aca="false">IFERROR(F11/H11,0)</f>
        <v>124.381574007194</v>
      </c>
      <c r="Q11" s="11" t="n">
        <f aca="false">IFERROR(F11/F$13,0)</f>
        <v>0.228824757220792</v>
      </c>
      <c r="R11" s="11" t="n">
        <f aca="false">IFERROR(H11/H$13,0)</f>
        <v>0.107676969092722</v>
      </c>
      <c r="S11" s="12" t="n">
        <f aca="false">IFERROR(R11/Q11,0)</f>
        <v>0.470565206319983</v>
      </c>
    </row>
    <row r="12" customFormat="false" ht="15" hidden="false" customHeight="false" outlineLevel="0" collapsed="false">
      <c r="A12" s="6" t="s">
        <v>60</v>
      </c>
      <c r="B12" s="6" t="s">
        <v>64</v>
      </c>
      <c r="C12" s="5" t="n">
        <f aca="false">COUNTIFS(Data!$D$2:$D$937,$A12,Data!$E$2:$E$937,$B12)</f>
        <v>105</v>
      </c>
      <c r="D12" s="5" t="n">
        <f aca="false">SUMIFS(Data!$G$2:$G$937,Data!$D$2:$D$937,$A12,Data!$E$2:$E$937,$B12)</f>
        <v>25261156</v>
      </c>
      <c r="E12" s="5" t="n">
        <f aca="false">SUMIFS(Data!$H$2:$H$937,Data!$D$2:$D$937,$A12,Data!$E$2:$E$937,$B12)</f>
        <v>4411</v>
      </c>
      <c r="F12" s="7" t="n">
        <f aca="false">SUMIFS(Data!$I$2:$I$937,Data!$D$2:$D$937,$A12,Data!$E$2:$E$937,$B12)</f>
        <v>7317.460003877</v>
      </c>
      <c r="G12" s="5" t="n">
        <f aca="false">SUMIFS(Data!$J$2:$J$937,Data!$D$2:$D$937,$A12,Data!$E$2:$E$937,$B12)</f>
        <v>268</v>
      </c>
      <c r="H12" s="5" t="n">
        <f aca="false">SUMIFS(Data!$K$2:$K$937,Data!$D$2:$D$937,$A12,Data!$E$2:$E$937,$B12)</f>
        <v>91</v>
      </c>
      <c r="I12" s="8" t="n">
        <f aca="false">IFERROR(E12/D12,0)</f>
        <v>0.000174615920189876</v>
      </c>
      <c r="J12" s="9" t="n">
        <f aca="false">IFERROR(F12/D12*1000,0)</f>
        <v>0.289672412611561</v>
      </c>
      <c r="K12" s="10" t="n">
        <f aca="false">IFERROR(F12/E12,0)</f>
        <v>1.65891181225958</v>
      </c>
      <c r="L12" s="11" t="n">
        <f aca="false">IFERROR(G12/E12,0)</f>
        <v>0.0607571979143051</v>
      </c>
      <c r="M12" s="11" t="n">
        <f aca="false">IFERROR(H12/E12,0)</f>
        <v>0.0206302425753797</v>
      </c>
      <c r="N12" s="11" t="n">
        <f aca="false">IFERROR(H12/G12,0)</f>
        <v>0.33955223880597</v>
      </c>
      <c r="O12" s="10" t="n">
        <f aca="false">IFERROR(F12/G12,0)</f>
        <v>27.303955238347</v>
      </c>
      <c r="P12" s="10" t="n">
        <f aca="false">IFERROR(F12/H12,0)</f>
        <v>80.4116483942528</v>
      </c>
      <c r="Q12" s="11" t="n">
        <f aca="false">IFERROR(F12/F$13,0)</f>
        <v>0.124647497490201</v>
      </c>
      <c r="R12" s="11" t="n">
        <f aca="false">IFERROR(H12/H$13,0)</f>
        <v>0.090727816550349</v>
      </c>
      <c r="S12" s="12" t="n">
        <f aca="false">IFERROR(R12/Q12,0)</f>
        <v>0.727875154954328</v>
      </c>
    </row>
    <row r="13" customFormat="false" ht="15" hidden="false" customHeight="false" outlineLevel="0" collapsed="false">
      <c r="A13" s="13" t="s">
        <v>53</v>
      </c>
      <c r="B13" s="13"/>
      <c r="C13" s="14" t="n">
        <f aca="false">SUM(C5:C12)</f>
        <v>936</v>
      </c>
      <c r="D13" s="14" t="n">
        <f aca="false">SUM(D5:D12)</f>
        <v>212945947</v>
      </c>
      <c r="E13" s="14" t="n">
        <f aca="false">SUM(E5:E12)</f>
        <v>38165</v>
      </c>
      <c r="F13" s="15" t="n">
        <f aca="false">SUM(F5:F12)</f>
        <v>58705.229958205</v>
      </c>
      <c r="G13" s="14" t="n">
        <f aca="false">SUM(G5:G12)</f>
        <v>3052</v>
      </c>
      <c r="H13" s="14" t="n">
        <f aca="false">SUM(H5:H12)</f>
        <v>1003</v>
      </c>
      <c r="I13" s="16" t="n">
        <f aca="false">IFERROR(E13/D13,0)</f>
        <v>0.00017922388539285</v>
      </c>
      <c r="J13" s="17" t="n">
        <f aca="false">IFERROR(F13/D13*1000,0)</f>
        <v>0.275681367902273</v>
      </c>
      <c r="K13" s="18" t="n">
        <f aca="false">IFERROR(F13/E13,0)</f>
        <v>1.53819546595585</v>
      </c>
      <c r="L13" s="19" t="n">
        <f aca="false">IFERROR(G13/E13,0)</f>
        <v>0.0799685575789336</v>
      </c>
      <c r="M13" s="19" t="n">
        <f aca="false">IFERROR(H13/E13,0)</f>
        <v>0.0262806236080178</v>
      </c>
      <c r="N13" s="19" t="n">
        <f aca="false">IFERROR(H13/G13,0)</f>
        <v>0.328636959370904</v>
      </c>
      <c r="O13" s="18" t="n">
        <f aca="false">IFERROR(F13/G13,0)</f>
        <v>19.2350032628457</v>
      </c>
      <c r="P13" s="18" t="n">
        <f aca="false">IFERROR(F13/H13,0)</f>
        <v>58.5296410350997</v>
      </c>
      <c r="Q13" s="19" t="n">
        <f aca="false">IFERROR(F13/F$13,0)</f>
        <v>1</v>
      </c>
      <c r="R13" s="19" t="n">
        <f aca="false">IFERROR(H13/H$13,0)</f>
        <v>1</v>
      </c>
      <c r="S13" s="20" t="n">
        <f aca="false">IFERROR(R13/Q13,0)</f>
        <v>1</v>
      </c>
    </row>
    <row r="15" customFormat="false" ht="15" hidden="false" customHeight="false" outlineLevel="0" collapsed="false">
      <c r="A15" s="2" t="s">
        <v>54</v>
      </c>
    </row>
  </sheetData>
  <conditionalFormatting sqref="P5:P1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5:S12">
    <cfRule type="colorScale" priority="3">
      <colorScale>
        <cfvo type="min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19" min="6" style="0" width="14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3" t="s">
        <v>46</v>
      </c>
      <c r="B4" s="3" t="s">
        <v>62</v>
      </c>
      <c r="C4" s="3" t="s">
        <v>5</v>
      </c>
      <c r="D4" s="3" t="s">
        <v>9</v>
      </c>
      <c r="E4" s="3" t="s">
        <v>11</v>
      </c>
      <c r="F4" s="3" t="s">
        <v>13</v>
      </c>
      <c r="G4" s="3" t="s">
        <v>47</v>
      </c>
      <c r="H4" s="3" t="s">
        <v>48</v>
      </c>
      <c r="I4" s="3" t="s">
        <v>19</v>
      </c>
      <c r="J4" s="3" t="s">
        <v>21</v>
      </c>
      <c r="K4" s="3" t="s">
        <v>23</v>
      </c>
      <c r="L4" s="3" t="s">
        <v>49</v>
      </c>
      <c r="M4" s="3" t="s">
        <v>27</v>
      </c>
      <c r="N4" s="3" t="s">
        <v>29</v>
      </c>
      <c r="O4" s="3" t="s">
        <v>31</v>
      </c>
      <c r="P4" s="3" t="s">
        <v>33</v>
      </c>
      <c r="Q4" s="3" t="s">
        <v>50</v>
      </c>
      <c r="R4" s="3" t="s">
        <v>51</v>
      </c>
      <c r="S4" s="3" t="s">
        <v>52</v>
      </c>
    </row>
    <row r="5" customFormat="false" ht="15" hidden="false" customHeight="false" outlineLevel="0" collapsed="false">
      <c r="A5" s="6" t="n">
        <v>916</v>
      </c>
      <c r="B5" s="6" t="s">
        <v>63</v>
      </c>
      <c r="C5" s="5" t="n">
        <f aca="false">COUNTIFS(Data!$B$2:$B$937,$A5,Data!$E$2:$E$937,$B5)</f>
        <v>13</v>
      </c>
      <c r="D5" s="5" t="n">
        <f aca="false">SUMIFS(Data!$G$2:$G$937,Data!$B$2:$B$937,$A5,Data!$E$2:$E$937,$B5)</f>
        <v>188843</v>
      </c>
      <c r="E5" s="5" t="n">
        <f aca="false">SUMIFS(Data!$H$2:$H$937,Data!$B$2:$B$937,$A5,Data!$E$2:$E$937,$B5)</f>
        <v>52</v>
      </c>
      <c r="F5" s="7" t="n">
        <f aca="false">SUMIFS(Data!$I$2:$I$937,Data!$B$2:$B$937,$A5,Data!$E$2:$E$937,$B5)</f>
        <v>69.850000137</v>
      </c>
      <c r="G5" s="5" t="n">
        <f aca="false">SUMIFS(Data!$J$2:$J$937,Data!$B$2:$B$937,$A5,Data!$E$2:$E$937,$B5)</f>
        <v>14</v>
      </c>
      <c r="H5" s="5" t="n">
        <f aca="false">SUMIFS(Data!$K$2:$K$937,Data!$B$2:$B$937,$A5,Data!$E$2:$E$937,$B5)</f>
        <v>6</v>
      </c>
      <c r="I5" s="8" t="n">
        <f aca="false">IFERROR(E5/D5,0)</f>
        <v>0.000275361014175797</v>
      </c>
      <c r="J5" s="9" t="n">
        <f aca="false">IFERROR(F5/D5*1000,0)</f>
        <v>0.369883978421228</v>
      </c>
      <c r="K5" s="10" t="n">
        <f aca="false">IFERROR(F5/E5,0)</f>
        <v>1.34326923340385</v>
      </c>
      <c r="L5" s="11" t="n">
        <f aca="false">IFERROR(G5/E5,0)</f>
        <v>0.269230769230769</v>
      </c>
      <c r="M5" s="11" t="n">
        <f aca="false">IFERROR(H5/E5,0)</f>
        <v>0.115384615384615</v>
      </c>
      <c r="N5" s="11" t="n">
        <f aca="false">IFERROR(H5/G5,0)</f>
        <v>0.428571428571429</v>
      </c>
      <c r="O5" s="10" t="n">
        <f aca="false">IFERROR(F5/G5,0)</f>
        <v>4.98928572407143</v>
      </c>
      <c r="P5" s="10" t="n">
        <f aca="false">IFERROR(F5/H5,0)</f>
        <v>11.6416666895</v>
      </c>
      <c r="Q5" s="11" t="n">
        <f aca="false">IFERROR(F5/F$11,0)</f>
        <v>0.00118984288430059</v>
      </c>
      <c r="R5" s="11" t="n">
        <f aca="false">IFERROR(H5/H$11,0)</f>
        <v>0.00598205383848455</v>
      </c>
      <c r="S5" s="12" t="n">
        <f aca="false">IFERROR(R5/Q5,0)</f>
        <v>5.02759979272465</v>
      </c>
    </row>
    <row r="6" customFormat="false" ht="15" hidden="false" customHeight="false" outlineLevel="0" collapsed="false">
      <c r="A6" s="6" t="n">
        <v>916</v>
      </c>
      <c r="B6" s="6" t="s">
        <v>64</v>
      </c>
      <c r="C6" s="5" t="n">
        <f aca="false">COUNTIFS(Data!$B$2:$B$937,$A6,Data!$E$2:$E$937,$B6)</f>
        <v>22</v>
      </c>
      <c r="D6" s="5" t="n">
        <f aca="false">SUMIFS(Data!$G$2:$G$937,Data!$B$2:$B$937,$A6,Data!$E$2:$E$937,$B6)</f>
        <v>259203</v>
      </c>
      <c r="E6" s="5" t="n">
        <f aca="false">SUMIFS(Data!$H$2:$H$937,Data!$B$2:$B$937,$A6,Data!$E$2:$E$937,$B6)</f>
        <v>61</v>
      </c>
      <c r="F6" s="7" t="n">
        <f aca="false">SUMIFS(Data!$I$2:$I$937,Data!$B$2:$B$937,$A6,Data!$E$2:$E$937,$B6)</f>
        <v>79.86000052</v>
      </c>
      <c r="G6" s="5" t="n">
        <f aca="false">SUMIFS(Data!$J$2:$J$937,Data!$B$2:$B$937,$A6,Data!$E$2:$E$937,$B6)</f>
        <v>25</v>
      </c>
      <c r="H6" s="5" t="n">
        <f aca="false">SUMIFS(Data!$K$2:$K$937,Data!$B$2:$B$937,$A6,Data!$E$2:$E$937,$B6)</f>
        <v>10</v>
      </c>
      <c r="I6" s="8" t="n">
        <f aca="false">IFERROR(E6/D6,0)</f>
        <v>0.000235336782367488</v>
      </c>
      <c r="J6" s="9" t="n">
        <f aca="false">IFERROR(F6/D6*1000,0)</f>
        <v>0.308098287905618</v>
      </c>
      <c r="K6" s="10" t="n">
        <f aca="false">IFERROR(F6/E6,0)</f>
        <v>1.30918033639344</v>
      </c>
      <c r="L6" s="11" t="n">
        <f aca="false">IFERROR(G6/E6,0)</f>
        <v>0.409836065573771</v>
      </c>
      <c r="M6" s="11" t="n">
        <f aca="false">IFERROR(H6/E6,0)</f>
        <v>0.163934426229508</v>
      </c>
      <c r="N6" s="11" t="n">
        <f aca="false">IFERROR(H6/G6,0)</f>
        <v>0.4</v>
      </c>
      <c r="O6" s="10" t="n">
        <f aca="false">IFERROR(F6/G6,0)</f>
        <v>3.1944000208</v>
      </c>
      <c r="P6" s="10" t="n">
        <f aca="false">IFERROR(F6/H6,0)</f>
        <v>7.986000052</v>
      </c>
      <c r="Q6" s="11" t="n">
        <f aca="false">IFERROR(F6/F$11,0)</f>
        <v>0.001360355807768</v>
      </c>
      <c r="R6" s="11" t="n">
        <f aca="false">IFERROR(H6/H$11,0)</f>
        <v>0.00997008973080758</v>
      </c>
      <c r="S6" s="12" t="n">
        <f aca="false">IFERROR(R6/Q6,0)</f>
        <v>7.32903088579891</v>
      </c>
    </row>
    <row r="7" customFormat="false" ht="15" hidden="false" customHeight="false" outlineLevel="0" collapsed="false">
      <c r="A7" s="6" t="n">
        <v>936</v>
      </c>
      <c r="B7" s="6" t="s">
        <v>63</v>
      </c>
      <c r="C7" s="5" t="n">
        <f aca="false">COUNTIFS(Data!$B$2:$B$937,$A7,Data!$E$2:$E$937,$B7)</f>
        <v>178</v>
      </c>
      <c r="D7" s="5" t="n">
        <f aca="false">SUMIFS(Data!$G$2:$G$937,Data!$B$2:$B$937,$A7,Data!$E$2:$E$937,$B7)</f>
        <v>6172243</v>
      </c>
      <c r="E7" s="5" t="n">
        <f aca="false">SUMIFS(Data!$H$2:$H$937,Data!$B$2:$B$937,$A7,Data!$E$2:$E$937,$B7)</f>
        <v>1633</v>
      </c>
      <c r="F7" s="7" t="n">
        <f aca="false">SUMIFS(Data!$I$2:$I$937,Data!$B$2:$B$937,$A7,Data!$E$2:$E$937,$B7)</f>
        <v>2380.359998585</v>
      </c>
      <c r="G7" s="5" t="n">
        <f aca="false">SUMIFS(Data!$J$2:$J$937,Data!$B$2:$B$937,$A7,Data!$E$2:$E$937,$B7)</f>
        <v>225</v>
      </c>
      <c r="H7" s="5" t="n">
        <f aca="false">SUMIFS(Data!$K$2:$K$937,Data!$B$2:$B$937,$A7,Data!$E$2:$E$937,$B7)</f>
        <v>70</v>
      </c>
      <c r="I7" s="8" t="n">
        <f aca="false">IFERROR(E7/D7,0)</f>
        <v>0.000264571566608768</v>
      </c>
      <c r="J7" s="9" t="n">
        <f aca="false">IFERROR(F7/D7*1000,0)</f>
        <v>0.385655587212785</v>
      </c>
      <c r="K7" s="10" t="n">
        <f aca="false">IFERROR(F7/E7,0)</f>
        <v>1.45766074622474</v>
      </c>
      <c r="L7" s="11" t="n">
        <f aca="false">IFERROR(G7/E7,0)</f>
        <v>0.137783221065524</v>
      </c>
      <c r="M7" s="11" t="n">
        <f aca="false">IFERROR(H7/E7,0)</f>
        <v>0.0428658909981629</v>
      </c>
      <c r="N7" s="11" t="n">
        <f aca="false">IFERROR(H7/G7,0)</f>
        <v>0.311111111111111</v>
      </c>
      <c r="O7" s="10" t="n">
        <f aca="false">IFERROR(F7/G7,0)</f>
        <v>10.5793777714889</v>
      </c>
      <c r="P7" s="10" t="n">
        <f aca="false">IFERROR(F7/H7,0)</f>
        <v>34.0051428369286</v>
      </c>
      <c r="Q7" s="11" t="n">
        <f aca="false">IFERROR(F7/F$11,0)</f>
        <v>0.0405476650083764</v>
      </c>
      <c r="R7" s="11" t="n">
        <f aca="false">IFERROR(H7/H$11,0)</f>
        <v>0.069790628115653</v>
      </c>
      <c r="S7" s="12" t="n">
        <f aca="false">IFERROR(R7/Q7,0)</f>
        <v>1.72119968193571</v>
      </c>
    </row>
    <row r="8" customFormat="false" ht="15" hidden="false" customHeight="false" outlineLevel="0" collapsed="false">
      <c r="A8" s="6" t="n">
        <v>936</v>
      </c>
      <c r="B8" s="6" t="s">
        <v>64</v>
      </c>
      <c r="C8" s="5" t="n">
        <f aca="false">COUNTIFS(Data!$B$2:$B$937,$A8,Data!$E$2:$E$937,$B8)</f>
        <v>110</v>
      </c>
      <c r="D8" s="5" t="n">
        <f aca="false">SUMIFS(Data!$G$2:$G$937,Data!$B$2:$B$937,$A8,Data!$E$2:$E$937,$B8)</f>
        <v>1625699</v>
      </c>
      <c r="E8" s="5" t="n">
        <f aca="false">SUMIFS(Data!$H$2:$H$937,Data!$B$2:$B$937,$A8,Data!$E$2:$E$937,$B8)</f>
        <v>351</v>
      </c>
      <c r="F8" s="7" t="n">
        <f aca="false">SUMIFS(Data!$I$2:$I$937,Data!$B$2:$B$937,$A8,Data!$E$2:$E$937,$B8)</f>
        <v>513.010000349</v>
      </c>
      <c r="G8" s="5" t="n">
        <f aca="false">SUMIFS(Data!$J$2:$J$937,Data!$B$2:$B$937,$A8,Data!$E$2:$E$937,$B8)</f>
        <v>131</v>
      </c>
      <c r="H8" s="5" t="n">
        <f aca="false">SUMIFS(Data!$K$2:$K$937,Data!$B$2:$B$937,$A8,Data!$E$2:$E$937,$B8)</f>
        <v>48</v>
      </c>
      <c r="I8" s="8" t="n">
        <f aca="false">IFERROR(E8/D8,0)</f>
        <v>0.00021590712671903</v>
      </c>
      <c r="J8" s="9" t="n">
        <f aca="false">IFERROR(F8/D8*1000,0)</f>
        <v>0.315562721234989</v>
      </c>
      <c r="K8" s="10" t="n">
        <f aca="false">IFERROR(F8/E8,0)</f>
        <v>1.46156695256125</v>
      </c>
      <c r="L8" s="11" t="n">
        <f aca="false">IFERROR(G8/E8,0)</f>
        <v>0.373219373219373</v>
      </c>
      <c r="M8" s="11" t="n">
        <f aca="false">IFERROR(H8/E8,0)</f>
        <v>0.136752136752137</v>
      </c>
      <c r="N8" s="11" t="n">
        <f aca="false">IFERROR(H8/G8,0)</f>
        <v>0.366412213740458</v>
      </c>
      <c r="O8" s="10" t="n">
        <f aca="false">IFERROR(F8/G8,0)</f>
        <v>3.91610687289313</v>
      </c>
      <c r="P8" s="10" t="n">
        <f aca="false">IFERROR(F8/H8,0)</f>
        <v>10.6877083406042</v>
      </c>
      <c r="Q8" s="11" t="n">
        <f aca="false">IFERROR(F8/F$11,0)</f>
        <v>0.00873874441364484</v>
      </c>
      <c r="R8" s="11" t="n">
        <f aca="false">IFERROR(H8/H$11,0)</f>
        <v>0.0478564307078764</v>
      </c>
      <c r="S8" s="12" t="n">
        <f aca="false">IFERROR(R8/Q8,0)</f>
        <v>5.47635088550621</v>
      </c>
    </row>
    <row r="9" customFormat="false" ht="15" hidden="false" customHeight="false" outlineLevel="0" collapsed="false">
      <c r="A9" s="6" t="n">
        <v>1178</v>
      </c>
      <c r="B9" s="6" t="s">
        <v>63</v>
      </c>
      <c r="C9" s="5" t="n">
        <f aca="false">COUNTIFS(Data!$B$2:$B$937,$A9,Data!$E$2:$E$937,$B9)</f>
        <v>272</v>
      </c>
      <c r="D9" s="5" t="n">
        <f aca="false">SUMIFS(Data!$G$2:$G$937,Data!$B$2:$B$937,$A9,Data!$E$2:$E$937,$B9)</f>
        <v>108346521</v>
      </c>
      <c r="E9" s="5" t="n">
        <f aca="false">SUMIFS(Data!$H$2:$H$937,Data!$B$2:$B$937,$A9,Data!$E$2:$E$937,$B9)</f>
        <v>22193</v>
      </c>
      <c r="F9" s="7" t="n">
        <f aca="false">SUMIFS(Data!$I$2:$I$937,Data!$B$2:$B$937,$A9,Data!$E$2:$E$937,$B9)</f>
        <v>32052.409964646</v>
      </c>
      <c r="G9" s="5" t="n">
        <f aca="false">SUMIFS(Data!$J$2:$J$937,Data!$B$2:$B$937,$A9,Data!$E$2:$E$937,$B9)</f>
        <v>1318</v>
      </c>
      <c r="H9" s="5" t="n">
        <f aca="false">SUMIFS(Data!$K$2:$K$937,Data!$B$2:$B$937,$A9,Data!$E$2:$E$937,$B9)</f>
        <v>391</v>
      </c>
      <c r="I9" s="8" t="n">
        <f aca="false">IFERROR(E9/D9,0)</f>
        <v>0.000204833526680566</v>
      </c>
      <c r="J9" s="9" t="n">
        <f aca="false">IFERROR(F9/D9*1000,0)</f>
        <v>0.295832387314458</v>
      </c>
      <c r="K9" s="10" t="n">
        <f aca="false">IFERROR(F9/E9,0)</f>
        <v>1.44425764721516</v>
      </c>
      <c r="L9" s="11" t="n">
        <f aca="false">IFERROR(G9/E9,0)</f>
        <v>0.0593880953453792</v>
      </c>
      <c r="M9" s="11" t="n">
        <f aca="false">IFERROR(H9/E9,0)</f>
        <v>0.0176181678907764</v>
      </c>
      <c r="N9" s="11" t="n">
        <f aca="false">IFERROR(H9/G9,0)</f>
        <v>0.296661608497724</v>
      </c>
      <c r="O9" s="10" t="n">
        <f aca="false">IFERROR(F9/G9,0)</f>
        <v>24.3189756939651</v>
      </c>
      <c r="P9" s="10" t="n">
        <f aca="false">IFERROR(F9/H9,0)</f>
        <v>81.9754730553606</v>
      </c>
      <c r="Q9" s="11" t="n">
        <f aca="false">IFERROR(F9/F$11,0)</f>
        <v>0.545989002810578</v>
      </c>
      <c r="R9" s="11" t="n">
        <f aca="false">IFERROR(H9/H$11,0)</f>
        <v>0.389830508474576</v>
      </c>
      <c r="S9" s="12" t="n">
        <f aca="false">IFERROR(R9/Q9,0)</f>
        <v>0.71398967097845</v>
      </c>
    </row>
    <row r="10" customFormat="false" ht="15" hidden="false" customHeight="false" outlineLevel="0" collapsed="false">
      <c r="A10" s="6" t="n">
        <v>1178</v>
      </c>
      <c r="B10" s="6" t="s">
        <v>64</v>
      </c>
      <c r="C10" s="5" t="n">
        <f aca="false">COUNTIFS(Data!$B$2:$B$937,$A10,Data!$E$2:$E$937,$B10)</f>
        <v>341</v>
      </c>
      <c r="D10" s="5" t="n">
        <f aca="false">SUMIFS(Data!$G$2:$G$937,Data!$B$2:$B$937,$A10,Data!$E$2:$E$937,$B10)</f>
        <v>96353438</v>
      </c>
      <c r="E10" s="5" t="n">
        <f aca="false">SUMIFS(Data!$H$2:$H$937,Data!$B$2:$B$937,$A10,Data!$E$2:$E$937,$B10)</f>
        <v>13875</v>
      </c>
      <c r="F10" s="7" t="n">
        <f aca="false">SUMIFS(Data!$I$2:$I$937,Data!$B$2:$B$937,$A10,Data!$E$2:$E$937,$B10)</f>
        <v>23609.739993968</v>
      </c>
      <c r="G10" s="5" t="n">
        <f aca="false">SUMIFS(Data!$J$2:$J$937,Data!$B$2:$B$937,$A10,Data!$E$2:$E$937,$B10)</f>
        <v>1339</v>
      </c>
      <c r="H10" s="5" t="n">
        <f aca="false">SUMIFS(Data!$K$2:$K$937,Data!$B$2:$B$937,$A10,Data!$E$2:$E$937,$B10)</f>
        <v>478</v>
      </c>
      <c r="I10" s="8" t="n">
        <f aca="false">IFERROR(E10/D10,0)</f>
        <v>0.000144001088990722</v>
      </c>
      <c r="J10" s="9" t="n">
        <f aca="false">IFERROR(F10/D10*1000,0)</f>
        <v>0.245032668102284</v>
      </c>
      <c r="K10" s="10" t="n">
        <f aca="false">IFERROR(F10/E10,0)</f>
        <v>1.70160288244814</v>
      </c>
      <c r="L10" s="11" t="n">
        <f aca="false">IFERROR(G10/E10,0)</f>
        <v>0.0965045045045045</v>
      </c>
      <c r="M10" s="11" t="n">
        <f aca="false">IFERROR(H10/E10,0)</f>
        <v>0.0344504504504505</v>
      </c>
      <c r="N10" s="11" t="n">
        <f aca="false">IFERROR(H10/G10,0)</f>
        <v>0.356982823002241</v>
      </c>
      <c r="O10" s="10" t="n">
        <f aca="false">IFERROR(F10/G10,0)</f>
        <v>17.632367433882</v>
      </c>
      <c r="P10" s="10" t="n">
        <f aca="false">IFERROR(F10/H10,0)</f>
        <v>49.3927614936569</v>
      </c>
      <c r="Q10" s="11" t="n">
        <f aca="false">IFERROR(F10/F$11,0)</f>
        <v>0.402174389075332</v>
      </c>
      <c r="R10" s="11" t="n">
        <f aca="false">IFERROR(H10/H$11,0)</f>
        <v>0.476570289132602</v>
      </c>
      <c r="S10" s="12" t="n">
        <f aca="false">IFERROR(R10/Q10,0)</f>
        <v>1.18498418118647</v>
      </c>
    </row>
    <row r="11" customFormat="false" ht="15" hidden="false" customHeight="false" outlineLevel="0" collapsed="false">
      <c r="A11" s="13" t="s">
        <v>53</v>
      </c>
      <c r="B11" s="13"/>
      <c r="C11" s="14" t="n">
        <f aca="false">SUM(C5:C10)</f>
        <v>936</v>
      </c>
      <c r="D11" s="14" t="n">
        <f aca="false">SUM(D5:D10)</f>
        <v>212945947</v>
      </c>
      <c r="E11" s="14" t="n">
        <f aca="false">SUM(E5:E10)</f>
        <v>38165</v>
      </c>
      <c r="F11" s="15" t="n">
        <f aca="false">SUM(F5:F10)</f>
        <v>58705.229958205</v>
      </c>
      <c r="G11" s="14" t="n">
        <f aca="false">SUM(G5:G10)</f>
        <v>3052</v>
      </c>
      <c r="H11" s="14" t="n">
        <f aca="false">SUM(H5:H10)</f>
        <v>1003</v>
      </c>
      <c r="I11" s="16" t="n">
        <f aca="false">IFERROR(E11/D11,0)</f>
        <v>0.00017922388539285</v>
      </c>
      <c r="J11" s="17" t="n">
        <f aca="false">IFERROR(F11/D11*1000,0)</f>
        <v>0.275681367902273</v>
      </c>
      <c r="K11" s="18" t="n">
        <f aca="false">IFERROR(F11/E11,0)</f>
        <v>1.53819546595585</v>
      </c>
      <c r="L11" s="19" t="n">
        <f aca="false">IFERROR(G11/E11,0)</f>
        <v>0.0799685575789336</v>
      </c>
      <c r="M11" s="19" t="n">
        <f aca="false">IFERROR(H11/E11,0)</f>
        <v>0.0262806236080178</v>
      </c>
      <c r="N11" s="19" t="n">
        <f aca="false">IFERROR(H11/G11,0)</f>
        <v>0.328636959370904</v>
      </c>
      <c r="O11" s="18" t="n">
        <f aca="false">IFERROR(F11/G11,0)</f>
        <v>19.2350032628457</v>
      </c>
      <c r="P11" s="18" t="n">
        <f aca="false">IFERROR(F11/H11,0)</f>
        <v>58.5296410350997</v>
      </c>
      <c r="Q11" s="19" t="n">
        <f aca="false">IFERROR(F11/F$11,0)</f>
        <v>1</v>
      </c>
      <c r="R11" s="19" t="n">
        <f aca="false">IFERROR(H11/H$11,0)</f>
        <v>1</v>
      </c>
      <c r="S11" s="20" t="n">
        <f aca="false">IFERROR(R11/Q11,0)</f>
        <v>1</v>
      </c>
    </row>
    <row r="13" customFormat="false" ht="15" hidden="false" customHeight="false" outlineLevel="0" collapsed="false">
      <c r="A13" s="2" t="s">
        <v>54</v>
      </c>
    </row>
  </sheetData>
  <conditionalFormatting sqref="P5:P1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5:S10">
    <cfRule type="colorScale" priority="3">
      <colorScale>
        <cfvo type="min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18" min="5" style="0" width="14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1.5" hidden="false" customHeight="true" outlineLevel="0" collapsed="false">
      <c r="A4" s="3" t="s">
        <v>69</v>
      </c>
      <c r="B4" s="3" t="s">
        <v>5</v>
      </c>
      <c r="C4" s="3" t="s">
        <v>9</v>
      </c>
      <c r="D4" s="3" t="s">
        <v>11</v>
      </c>
      <c r="E4" s="3" t="s">
        <v>13</v>
      </c>
      <c r="F4" s="3" t="s">
        <v>47</v>
      </c>
      <c r="G4" s="3" t="s">
        <v>48</v>
      </c>
      <c r="H4" s="3" t="s">
        <v>19</v>
      </c>
      <c r="I4" s="3" t="s">
        <v>21</v>
      </c>
      <c r="J4" s="3" t="s">
        <v>23</v>
      </c>
      <c r="K4" s="3" t="s">
        <v>49</v>
      </c>
      <c r="L4" s="3" t="s">
        <v>27</v>
      </c>
      <c r="M4" s="3" t="s">
        <v>29</v>
      </c>
      <c r="N4" s="3" t="s">
        <v>31</v>
      </c>
      <c r="O4" s="3" t="s">
        <v>33</v>
      </c>
      <c r="P4" s="3" t="s">
        <v>50</v>
      </c>
      <c r="Q4" s="3" t="s">
        <v>51</v>
      </c>
      <c r="R4" s="3" t="s">
        <v>52</v>
      </c>
    </row>
    <row r="5" customFormat="false" ht="15" hidden="false" customHeight="false" outlineLevel="0" collapsed="false">
      <c r="A5" s="6" t="n">
        <v>16</v>
      </c>
      <c r="B5" s="5" t="n">
        <f aca="false">COUNTIFS(Data!$F$2:$F$937,$A5)</f>
        <v>116</v>
      </c>
      <c r="C5" s="5" t="n">
        <f aca="false">SUMIFS(Data!$G$2:$G$937,Data!$F$2:$F$937,$A5)</f>
        <v>31691480</v>
      </c>
      <c r="D5" s="5" t="n">
        <f aca="false">SUMIFS(Data!$H$2:$H$937,Data!$F$2:$F$937,$A5)</f>
        <v>5144</v>
      </c>
      <c r="E5" s="7" t="n">
        <f aca="false">SUMIFS(Data!$I$2:$I$937,Data!$F$2:$F$937,$A5)</f>
        <v>8084.909989546</v>
      </c>
      <c r="F5" s="5" t="n">
        <f aca="false">SUMIFS(Data!$J$2:$J$937,Data!$F$2:$F$937,$A5)</f>
        <v>385</v>
      </c>
      <c r="G5" s="5" t="n">
        <f aca="false">SUMIFS(Data!$K$2:$K$937,Data!$F$2:$F$937,$A5)</f>
        <v>134</v>
      </c>
      <c r="H5" s="8" t="n">
        <f aca="false">IFERROR(D5/C5,0)</f>
        <v>0.000162314918710013</v>
      </c>
      <c r="I5" s="9" t="n">
        <f aca="false">IFERROR(E5/C5*1000,0)</f>
        <v>0.255113045826386</v>
      </c>
      <c r="J5" s="10" t="n">
        <f aca="false">IFERROR(E5/D5,0)</f>
        <v>1.57171656095373</v>
      </c>
      <c r="K5" s="11" t="n">
        <f aca="false">IFERROR(F5/D5,0)</f>
        <v>0.0748444790046656</v>
      </c>
      <c r="L5" s="11" t="n">
        <f aca="false">IFERROR(G5/D5,0)</f>
        <v>0.026049766718507</v>
      </c>
      <c r="M5" s="11" t="n">
        <f aca="false">IFERROR(G5/F5,0)</f>
        <v>0.348051948051948</v>
      </c>
      <c r="N5" s="10" t="n">
        <f aca="false">IFERROR(E5/F5,0)</f>
        <v>20.999766206613</v>
      </c>
      <c r="O5" s="10" t="n">
        <f aca="false">IFERROR(E5/G5,0)</f>
        <v>60.3351491757164</v>
      </c>
      <c r="P5" s="11" t="n">
        <f aca="false">IFERROR(E5/E$45,0)</f>
        <v>0.137720438116025</v>
      </c>
      <c r="Q5" s="11" t="n">
        <f aca="false">IFERROR(G5/G$45,0)</f>
        <v>0.133599202392822</v>
      </c>
      <c r="R5" s="12" t="n">
        <f aca="false">IFERROR(Q5/P5,0)</f>
        <v>0.970075351345226</v>
      </c>
    </row>
    <row r="6" customFormat="false" ht="15" hidden="false" customHeight="false" outlineLevel="0" collapsed="false">
      <c r="A6" s="6" t="n">
        <v>27</v>
      </c>
      <c r="B6" s="5" t="n">
        <f aca="false">COUNTIFS(Data!$F$2:$F$937,$A6)</f>
        <v>52</v>
      </c>
      <c r="C6" s="5" t="n">
        <f aca="false">SUMIFS(Data!$G$2:$G$937,Data!$F$2:$F$937,$A6)</f>
        <v>16342554</v>
      </c>
      <c r="D6" s="5" t="n">
        <f aca="false">SUMIFS(Data!$H$2:$H$937,Data!$F$2:$F$937,$A6)</f>
        <v>3409</v>
      </c>
      <c r="E6" s="7" t="n">
        <f aca="false">SUMIFS(Data!$I$2:$I$937,Data!$F$2:$F$937,$A6)</f>
        <v>5176.1699922</v>
      </c>
      <c r="F6" s="5" t="n">
        <f aca="false">SUMIFS(Data!$J$2:$J$937,Data!$F$2:$F$937,$A6)</f>
        <v>232</v>
      </c>
      <c r="G6" s="5" t="n">
        <f aca="false">SUMIFS(Data!$K$2:$K$937,Data!$F$2:$F$937,$A6)</f>
        <v>53</v>
      </c>
      <c r="H6" s="8" t="n">
        <f aca="false">IFERROR(D6/C6,0)</f>
        <v>0.000208596526589418</v>
      </c>
      <c r="I6" s="9" t="n">
        <f aca="false">IFERROR(E6/C6*1000,0)</f>
        <v>0.316729563335082</v>
      </c>
      <c r="J6" s="10" t="n">
        <f aca="false">IFERROR(E6/D6,0)</f>
        <v>1.51838368794368</v>
      </c>
      <c r="K6" s="11" t="n">
        <f aca="false">IFERROR(F6/D6,0)</f>
        <v>0.0680551481372837</v>
      </c>
      <c r="L6" s="11" t="n">
        <f aca="false">IFERROR(G6/D6,0)</f>
        <v>0.0155470812555001</v>
      </c>
      <c r="M6" s="11" t="n">
        <f aca="false">IFERROR(G6/F6,0)</f>
        <v>0.228448275862069</v>
      </c>
      <c r="N6" s="10" t="n">
        <f aca="false">IFERROR(E6/F6,0)</f>
        <v>22.3110775525862</v>
      </c>
      <c r="O6" s="10" t="n">
        <f aca="false">IFERROR(E6/G6,0)</f>
        <v>97.6635847584906</v>
      </c>
      <c r="P6" s="11" t="n">
        <f aca="false">IFERROR(E6/E$45,0)</f>
        <v>0.0881722121842493</v>
      </c>
      <c r="Q6" s="11" t="n">
        <f aca="false">IFERROR(G6/G$45,0)</f>
        <v>0.0528414755732802</v>
      </c>
      <c r="R6" s="12" t="n">
        <f aca="false">IFERROR(Q6/P6,0)</f>
        <v>0.599298512130555</v>
      </c>
    </row>
    <row r="7" customFormat="false" ht="15" hidden="false" customHeight="false" outlineLevel="0" collapsed="false">
      <c r="A7" s="6" t="n">
        <v>10</v>
      </c>
      <c r="B7" s="5" t="n">
        <f aca="false">COUNTIFS(Data!$F$2:$F$937,$A7)</f>
        <v>69</v>
      </c>
      <c r="C7" s="5" t="n">
        <f aca="false">SUMIFS(Data!$G$2:$G$937,Data!$F$2:$F$937,$A7)</f>
        <v>17935367</v>
      </c>
      <c r="D7" s="5" t="n">
        <f aca="false">SUMIFS(Data!$H$2:$H$937,Data!$F$2:$F$937,$A7)</f>
        <v>3317</v>
      </c>
      <c r="E7" s="7" t="n">
        <f aca="false">SUMIFS(Data!$I$2:$I$937,Data!$F$2:$F$937,$A7)</f>
        <v>5086.379995233</v>
      </c>
      <c r="F7" s="5" t="n">
        <f aca="false">SUMIFS(Data!$J$2:$J$937,Data!$F$2:$F$937,$A7)</f>
        <v>253</v>
      </c>
      <c r="G7" s="5" t="n">
        <f aca="false">SUMIFS(Data!$K$2:$K$937,Data!$F$2:$F$937,$A7)</f>
        <v>83</v>
      </c>
      <c r="H7" s="8" t="n">
        <f aca="false">IFERROR(D7/C7,0)</f>
        <v>0.000184941852597719</v>
      </c>
      <c r="I7" s="9" t="n">
        <f aca="false">IFERROR(E7/C7*1000,0)</f>
        <v>0.283594977188535</v>
      </c>
      <c r="J7" s="10" t="n">
        <f aca="false">IFERROR(E7/D7,0)</f>
        <v>1.53342779476424</v>
      </c>
      <c r="K7" s="11" t="n">
        <f aca="false">IFERROR(F7/D7,0)</f>
        <v>0.0762737413325294</v>
      </c>
      <c r="L7" s="11" t="n">
        <f aca="false">IFERROR(G7/D7,0)</f>
        <v>0.0250226107928851</v>
      </c>
      <c r="M7" s="11" t="n">
        <f aca="false">IFERROR(G7/F7,0)</f>
        <v>0.328063241106719</v>
      </c>
      <c r="N7" s="10" t="n">
        <f aca="false">IFERROR(E7/F7,0)</f>
        <v>20.1042687558617</v>
      </c>
      <c r="O7" s="10" t="n">
        <f aca="false">IFERROR(E7/G7,0)</f>
        <v>61.2816866895542</v>
      </c>
      <c r="P7" s="11" t="n">
        <f aca="false">IFERROR(E7/E$45,0)</f>
        <v>0.0866427062606557</v>
      </c>
      <c r="Q7" s="11" t="n">
        <f aca="false">IFERROR(G7/G$45,0)</f>
        <v>0.0827517447657029</v>
      </c>
      <c r="R7" s="12" t="n">
        <f aca="false">IFERROR(Q7/P7,0)</f>
        <v>0.955091874863105</v>
      </c>
    </row>
    <row r="8" customFormat="false" ht="15" hidden="false" customHeight="false" outlineLevel="0" collapsed="false">
      <c r="A8" s="6" t="n">
        <v>29</v>
      </c>
      <c r="B8" s="5" t="n">
        <f aca="false">COUNTIFS(Data!$F$2:$F$937,$A8)</f>
        <v>61</v>
      </c>
      <c r="C8" s="5" t="n">
        <f aca="false">SUMIFS(Data!$G$2:$G$937,Data!$F$2:$F$937,$A8)</f>
        <v>18720765</v>
      </c>
      <c r="D8" s="5" t="n">
        <f aca="false">SUMIFS(Data!$H$2:$H$937,Data!$F$2:$F$937,$A8)</f>
        <v>3315</v>
      </c>
      <c r="E8" s="7" t="n">
        <f aca="false">SUMIFS(Data!$I$2:$I$937,Data!$F$2:$F$937,$A8)</f>
        <v>5045.190008213</v>
      </c>
      <c r="F8" s="5" t="n">
        <f aca="false">SUMIFS(Data!$J$2:$J$937,Data!$F$2:$F$937,$A8)</f>
        <v>289</v>
      </c>
      <c r="G8" s="5" t="n">
        <f aca="false">SUMIFS(Data!$K$2:$K$937,Data!$F$2:$F$937,$A8)</f>
        <v>124</v>
      </c>
      <c r="H8" s="8" t="n">
        <f aca="false">IFERROR(D8/C8,0)</f>
        <v>0.000177076097050521</v>
      </c>
      <c r="I8" s="9" t="n">
        <f aca="false">IFERROR(E8/C8*1000,0)</f>
        <v>0.269497000160677</v>
      </c>
      <c r="J8" s="10" t="n">
        <f aca="false">IFERROR(E8/D8,0)</f>
        <v>1.52192760428748</v>
      </c>
      <c r="K8" s="11" t="n">
        <f aca="false">IFERROR(F8/D8,0)</f>
        <v>0.0871794871794872</v>
      </c>
      <c r="L8" s="11" t="n">
        <f aca="false">IFERROR(G8/D8,0)</f>
        <v>0.0374057315233786</v>
      </c>
      <c r="M8" s="11" t="n">
        <f aca="false">IFERROR(G8/F8,0)</f>
        <v>0.429065743944637</v>
      </c>
      <c r="N8" s="10" t="n">
        <f aca="false">IFERROR(E8/F8,0)</f>
        <v>17.4574048727093</v>
      </c>
      <c r="O8" s="10" t="n">
        <f aca="false">IFERROR(E8/G8,0)</f>
        <v>40.6870161952661</v>
      </c>
      <c r="P8" s="11" t="n">
        <f aca="false">IFERROR(E8/E$45,0)</f>
        <v>0.0859410654179348</v>
      </c>
      <c r="Q8" s="11" t="n">
        <f aca="false">IFERROR(G8/G$45,0)</f>
        <v>0.123629112662014</v>
      </c>
      <c r="R8" s="12" t="n">
        <f aca="false">IFERROR(Q8/P8,0)</f>
        <v>1.43853362837429</v>
      </c>
    </row>
    <row r="9" customFormat="false" ht="15" hidden="false" customHeight="false" outlineLevel="0" collapsed="false">
      <c r="A9" s="6" t="n">
        <v>28</v>
      </c>
      <c r="B9" s="5" t="n">
        <f aca="false">COUNTIFS(Data!$F$2:$F$937,$A9)</f>
        <v>43</v>
      </c>
      <c r="C9" s="5" t="n">
        <f aca="false">SUMIFS(Data!$G$2:$G$937,Data!$F$2:$F$937,$A9)</f>
        <v>10947059</v>
      </c>
      <c r="D9" s="5" t="n">
        <f aca="false">SUMIFS(Data!$H$2:$H$937,Data!$F$2:$F$937,$A9)</f>
        <v>2025</v>
      </c>
      <c r="E9" s="7" t="n">
        <f aca="false">SUMIFS(Data!$I$2:$I$937,Data!$F$2:$F$937,$A9)</f>
        <v>3205.850003548</v>
      </c>
      <c r="F9" s="5" t="n">
        <f aca="false">SUMIFS(Data!$J$2:$J$937,Data!$F$2:$F$937,$A9)</f>
        <v>138</v>
      </c>
      <c r="G9" s="5" t="n">
        <f aca="false">SUMIFS(Data!$K$2:$K$937,Data!$F$2:$F$937,$A9)</f>
        <v>41</v>
      </c>
      <c r="H9" s="8" t="n">
        <f aca="false">IFERROR(D9/C9,0)</f>
        <v>0.000184981189925075</v>
      </c>
      <c r="I9" s="9" t="n">
        <f aca="false">IFERROR(E9/C9*1000,0)</f>
        <v>0.292850344877834</v>
      </c>
      <c r="J9" s="10" t="n">
        <f aca="false">IFERROR(E9/D9,0)</f>
        <v>1.58313580422123</v>
      </c>
      <c r="K9" s="11" t="n">
        <f aca="false">IFERROR(F9/D9,0)</f>
        <v>0.0681481481481482</v>
      </c>
      <c r="L9" s="11" t="n">
        <f aca="false">IFERROR(G9/D9,0)</f>
        <v>0.0202469135802469</v>
      </c>
      <c r="M9" s="11" t="n">
        <f aca="false">IFERROR(G9/F9,0)</f>
        <v>0.297101449275362</v>
      </c>
      <c r="N9" s="10" t="n">
        <f aca="false">IFERROR(E9/F9,0)</f>
        <v>23.2307971271594</v>
      </c>
      <c r="O9" s="10" t="n">
        <f aca="false">IFERROR(E9/G9,0)</f>
        <v>78.1914635011707</v>
      </c>
      <c r="P9" s="11" t="n">
        <f aca="false">IFERROR(E9/E$45,0)</f>
        <v>0.0546092742644973</v>
      </c>
      <c r="Q9" s="11" t="n">
        <f aca="false">IFERROR(G9/G$45,0)</f>
        <v>0.0408773678963111</v>
      </c>
      <c r="R9" s="12" t="n">
        <f aca="false">IFERROR(Q9/P9,0)</f>
        <v>0.74854259549987</v>
      </c>
    </row>
    <row r="10" customFormat="false" ht="15" hidden="false" customHeight="false" outlineLevel="0" collapsed="false">
      <c r="A10" s="6" t="n">
        <v>15</v>
      </c>
      <c r="B10" s="5" t="n">
        <f aca="false">COUNTIFS(Data!$F$2:$F$937,$A10)</f>
        <v>39</v>
      </c>
      <c r="C10" s="5" t="n">
        <f aca="false">SUMIFS(Data!$G$2:$G$937,Data!$F$2:$F$937,$A10)</f>
        <v>10712519</v>
      </c>
      <c r="D10" s="5" t="n">
        <f aca="false">SUMIFS(Data!$H$2:$H$937,Data!$F$2:$F$937,$A10)</f>
        <v>1609</v>
      </c>
      <c r="E10" s="7" t="n">
        <f aca="false">SUMIFS(Data!$I$2:$I$937,Data!$F$2:$F$937,$A10)</f>
        <v>2597.259995234</v>
      </c>
      <c r="F10" s="5" t="n">
        <f aca="false">SUMIFS(Data!$J$2:$J$937,Data!$F$2:$F$937,$A10)</f>
        <v>182</v>
      </c>
      <c r="G10" s="5" t="n">
        <f aca="false">SUMIFS(Data!$K$2:$K$937,Data!$F$2:$F$937,$A10)</f>
        <v>57</v>
      </c>
      <c r="H10" s="8" t="n">
        <f aca="false">IFERROR(D10/C10,0)</f>
        <v>0.000150198099998702</v>
      </c>
      <c r="I10" s="9" t="n">
        <f aca="false">IFERROR(E10/C10*1000,0)</f>
        <v>0.242450911427462</v>
      </c>
      <c r="J10" s="10" t="n">
        <f aca="false">IFERROR(E10/D10,0)</f>
        <v>1.6142075793872</v>
      </c>
      <c r="K10" s="11" t="n">
        <f aca="false">IFERROR(F10/D10,0)</f>
        <v>0.113113735239279</v>
      </c>
      <c r="L10" s="11" t="n">
        <f aca="false">IFERROR(G10/D10,0)</f>
        <v>0.0354257302672467</v>
      </c>
      <c r="M10" s="11" t="n">
        <f aca="false">IFERROR(G10/F10,0)</f>
        <v>0.313186813186813</v>
      </c>
      <c r="N10" s="10" t="n">
        <f aca="false">IFERROR(E10/F10,0)</f>
        <v>14.2706593144725</v>
      </c>
      <c r="O10" s="10" t="n">
        <f aca="false">IFERROR(E10/G10,0)</f>
        <v>45.5659648286667</v>
      </c>
      <c r="P10" s="11" t="n">
        <f aca="false">IFERROR(E10/E$45,0)</f>
        <v>0.0442423953893565</v>
      </c>
      <c r="Q10" s="11" t="n">
        <f aca="false">IFERROR(G10/G$45,0)</f>
        <v>0.0568295114656032</v>
      </c>
      <c r="R10" s="12" t="n">
        <f aca="false">IFERROR(Q10/P10,0)</f>
        <v>1.28450349411404</v>
      </c>
    </row>
    <row r="11" customFormat="false" ht="15" hidden="false" customHeight="false" outlineLevel="0" collapsed="false">
      <c r="A11" s="6" t="n">
        <v>63</v>
      </c>
      <c r="B11" s="5" t="n">
        <f aca="false">COUNTIFS(Data!$F$2:$F$937,$A11)</f>
        <v>38</v>
      </c>
      <c r="C11" s="5" t="n">
        <f aca="false">SUMIFS(Data!$G$2:$G$937,Data!$F$2:$F$937,$A11)</f>
        <v>8336174</v>
      </c>
      <c r="D11" s="5" t="n">
        <f aca="false">SUMIFS(Data!$H$2:$H$937,Data!$F$2:$F$937,$A11)</f>
        <v>1675</v>
      </c>
      <c r="E11" s="7" t="n">
        <f aca="false">SUMIFS(Data!$I$2:$I$937,Data!$F$2:$F$937,$A11)</f>
        <v>2484.06000232</v>
      </c>
      <c r="F11" s="5" t="n">
        <f aca="false">SUMIFS(Data!$J$2:$J$937,Data!$F$2:$F$937,$A11)</f>
        <v>93</v>
      </c>
      <c r="G11" s="5" t="n">
        <f aca="false">SUMIFS(Data!$K$2:$K$937,Data!$F$2:$F$937,$A11)</f>
        <v>30</v>
      </c>
      <c r="H11" s="8" t="n">
        <f aca="false">IFERROR(D11/C11,0)</f>
        <v>0.000200931506468075</v>
      </c>
      <c r="I11" s="9" t="n">
        <f aca="false">IFERROR(E11/C11*1000,0)</f>
        <v>0.297985622939252</v>
      </c>
      <c r="J11" s="10" t="n">
        <f aca="false">IFERROR(E11/D11,0)</f>
        <v>1.48302089690746</v>
      </c>
      <c r="K11" s="11" t="n">
        <f aca="false">IFERROR(F11/D11,0)</f>
        <v>0.0555223880597015</v>
      </c>
      <c r="L11" s="11" t="n">
        <f aca="false">IFERROR(G11/D11,0)</f>
        <v>0.017910447761194</v>
      </c>
      <c r="M11" s="11" t="n">
        <f aca="false">IFERROR(G11/F11,0)</f>
        <v>0.32258064516129</v>
      </c>
      <c r="N11" s="10" t="n">
        <f aca="false">IFERROR(E11/F11,0)</f>
        <v>26.7103226055914</v>
      </c>
      <c r="O11" s="10" t="n">
        <f aca="false">IFERROR(E11/G11,0)</f>
        <v>82.8020000773333</v>
      </c>
      <c r="P11" s="11" t="n">
        <f aca="false">IFERROR(E11/E$45,0)</f>
        <v>0.0423141175682051</v>
      </c>
      <c r="Q11" s="11" t="n">
        <f aca="false">IFERROR(G11/G$45,0)</f>
        <v>0.0299102691924227</v>
      </c>
      <c r="R11" s="12" t="n">
        <f aca="false">IFERROR(Q11/P11,0)</f>
        <v>0.706862648008933</v>
      </c>
    </row>
    <row r="12" customFormat="false" ht="15" hidden="false" customHeight="false" outlineLevel="0" collapsed="false">
      <c r="A12" s="6" t="n">
        <v>18</v>
      </c>
      <c r="B12" s="5" t="n">
        <f aca="false">COUNTIFS(Data!$F$2:$F$937,$A12)</f>
        <v>34</v>
      </c>
      <c r="C12" s="5" t="n">
        <f aca="false">SUMIFS(Data!$G$2:$G$937,Data!$F$2:$F$937,$A12)</f>
        <v>8631584</v>
      </c>
      <c r="D12" s="5" t="n">
        <f aca="false">SUMIFS(Data!$H$2:$H$937,Data!$F$2:$F$937,$A12)</f>
        <v>1524</v>
      </c>
      <c r="E12" s="7" t="n">
        <f aca="false">SUMIFS(Data!$I$2:$I$937,Data!$F$2:$F$937,$A12)</f>
        <v>2425.070001347</v>
      </c>
      <c r="F12" s="5" t="n">
        <f aca="false">SUMIFS(Data!$J$2:$J$937,Data!$F$2:$F$937,$A12)</f>
        <v>75</v>
      </c>
      <c r="G12" s="5" t="n">
        <f aca="false">SUMIFS(Data!$K$2:$K$937,Data!$F$2:$F$937,$A12)</f>
        <v>31</v>
      </c>
      <c r="H12" s="8" t="n">
        <f aca="false">IFERROR(D12/C12,0)</f>
        <v>0.00017656087225705</v>
      </c>
      <c r="I12" s="9" t="n">
        <f aca="false">IFERROR(E12/C12*1000,0)</f>
        <v>0.28095306740304</v>
      </c>
      <c r="J12" s="10" t="n">
        <f aca="false">IFERROR(E12/D12,0)</f>
        <v>1.59125328172375</v>
      </c>
      <c r="K12" s="11" t="n">
        <f aca="false">IFERROR(F12/D12,0)</f>
        <v>0.0492125984251969</v>
      </c>
      <c r="L12" s="11" t="n">
        <f aca="false">IFERROR(G12/D12,0)</f>
        <v>0.0203412073490814</v>
      </c>
      <c r="M12" s="11" t="n">
        <f aca="false">IFERROR(G12/F12,0)</f>
        <v>0.413333333333333</v>
      </c>
      <c r="N12" s="10" t="n">
        <f aca="false">IFERROR(E12/F12,0)</f>
        <v>32.3342666846267</v>
      </c>
      <c r="O12" s="10" t="n">
        <f aca="false">IFERROR(E12/G12,0)</f>
        <v>78.2280645595806</v>
      </c>
      <c r="P12" s="11" t="n">
        <f aca="false">IFERROR(E12/E$45,0)</f>
        <v>0.0413092667054285</v>
      </c>
      <c r="Q12" s="11" t="n">
        <f aca="false">IFERROR(G12/G$45,0)</f>
        <v>0.0309072781655035</v>
      </c>
      <c r="R12" s="12" t="n">
        <f aca="false">IFERROR(Q12/P12,0)</f>
        <v>0.748192370150254</v>
      </c>
    </row>
    <row r="13" customFormat="false" ht="15" hidden="false" customHeight="false" outlineLevel="0" collapsed="false">
      <c r="A13" s="6" t="n">
        <v>32</v>
      </c>
      <c r="B13" s="5" t="n">
        <f aca="false">COUNTIFS(Data!$F$2:$F$937,$A13)</f>
        <v>24</v>
      </c>
      <c r="C13" s="5" t="n">
        <f aca="false">SUMIFS(Data!$G$2:$G$937,Data!$F$2:$F$937,$A13)</f>
        <v>6439439</v>
      </c>
      <c r="D13" s="5" t="n">
        <f aca="false">SUMIFS(Data!$H$2:$H$937,Data!$F$2:$F$937,$A13)</f>
        <v>1138</v>
      </c>
      <c r="E13" s="7" t="n">
        <f aca="false">SUMIFS(Data!$I$2:$I$937,Data!$F$2:$F$937,$A13)</f>
        <v>1970.530003032</v>
      </c>
      <c r="F13" s="5" t="n">
        <f aca="false">SUMIFS(Data!$J$2:$J$937,Data!$F$2:$F$937,$A13)</f>
        <v>67</v>
      </c>
      <c r="G13" s="5" t="n">
        <f aca="false">SUMIFS(Data!$K$2:$K$937,Data!$F$2:$F$937,$A13)</f>
        <v>32</v>
      </c>
      <c r="H13" s="8" t="n">
        <f aca="false">IFERROR(D13/C13,0)</f>
        <v>0.000176723469233888</v>
      </c>
      <c r="I13" s="9" t="n">
        <f aca="false">IFERROR(E13/C13*1000,0)</f>
        <v>0.306009576770896</v>
      </c>
      <c r="J13" s="10" t="n">
        <f aca="false">IFERROR(E13/D13,0)</f>
        <v>1.73157293763796</v>
      </c>
      <c r="K13" s="11" t="n">
        <f aca="false">IFERROR(F13/D13,0)</f>
        <v>0.0588752196836555</v>
      </c>
      <c r="L13" s="11" t="n">
        <f aca="false">IFERROR(G13/D13,0)</f>
        <v>0.0281195079086116</v>
      </c>
      <c r="M13" s="11" t="n">
        <f aca="false">IFERROR(G13/F13,0)</f>
        <v>0.477611940298507</v>
      </c>
      <c r="N13" s="10" t="n">
        <f aca="false">IFERROR(E13/F13,0)</f>
        <v>29.4108955676418</v>
      </c>
      <c r="O13" s="10" t="n">
        <f aca="false">IFERROR(E13/G13,0)</f>
        <v>61.57906259475</v>
      </c>
      <c r="P13" s="11" t="n">
        <f aca="false">IFERROR(E13/E$45,0)</f>
        <v>0.0335665153587664</v>
      </c>
      <c r="Q13" s="11" t="n">
        <f aca="false">IFERROR(G13/G$45,0)</f>
        <v>0.0319042871385842</v>
      </c>
      <c r="R13" s="12" t="n">
        <f aca="false">IFERROR(Q13/P13,0)</f>
        <v>0.950479571608317</v>
      </c>
    </row>
    <row r="14" customFormat="false" ht="15" hidden="false" customHeight="false" outlineLevel="0" collapsed="false">
      <c r="A14" s="6" t="n">
        <v>20</v>
      </c>
      <c r="B14" s="5" t="n">
        <f aca="false">COUNTIFS(Data!$F$2:$F$937,$A14)</f>
        <v>39</v>
      </c>
      <c r="C14" s="5" t="n">
        <f aca="false">SUMIFS(Data!$G$2:$G$937,Data!$F$2:$F$937,$A14)</f>
        <v>6891466</v>
      </c>
      <c r="D14" s="5" t="n">
        <f aca="false">SUMIFS(Data!$H$2:$H$937,Data!$F$2:$F$937,$A14)</f>
        <v>1234</v>
      </c>
      <c r="E14" s="7" t="n">
        <f aca="false">SUMIFS(Data!$I$2:$I$937,Data!$F$2:$F$937,$A14)</f>
        <v>1960.770000597</v>
      </c>
      <c r="F14" s="5" t="n">
        <f aca="false">SUMIFS(Data!$J$2:$J$937,Data!$F$2:$F$937,$A14)</f>
        <v>120</v>
      </c>
      <c r="G14" s="5" t="n">
        <f aca="false">SUMIFS(Data!$K$2:$K$937,Data!$F$2:$F$937,$A14)</f>
        <v>45</v>
      </c>
      <c r="H14" s="8" t="n">
        <f aca="false">IFERROR(D14/C14,0)</f>
        <v>0.000179062045724379</v>
      </c>
      <c r="I14" s="9" t="n">
        <f aca="false">IFERROR(E14/C14*1000,0)</f>
        <v>0.284521464750316</v>
      </c>
      <c r="J14" s="10" t="n">
        <f aca="false">IFERROR(E14/D14,0)</f>
        <v>1.58895461960859</v>
      </c>
      <c r="K14" s="11" t="n">
        <f aca="false">IFERROR(F14/D14,0)</f>
        <v>0.0972447325769854</v>
      </c>
      <c r="L14" s="11" t="n">
        <f aca="false">IFERROR(G14/D14,0)</f>
        <v>0.0364667747163695</v>
      </c>
      <c r="M14" s="11" t="n">
        <f aca="false">IFERROR(G14/F14,0)</f>
        <v>0.375</v>
      </c>
      <c r="N14" s="10" t="n">
        <f aca="false">IFERROR(E14/F14,0)</f>
        <v>16.339750004975</v>
      </c>
      <c r="O14" s="10" t="n">
        <f aca="false">IFERROR(E14/G14,0)</f>
        <v>43.5726666799333</v>
      </c>
      <c r="P14" s="11" t="n">
        <f aca="false">IFERROR(E14/E$45,0)</f>
        <v>0.0334002609647039</v>
      </c>
      <c r="Q14" s="11" t="n">
        <f aca="false">IFERROR(G14/G$45,0)</f>
        <v>0.0448654037886341</v>
      </c>
      <c r="R14" s="12" t="n">
        <f aca="false">IFERROR(Q14/P14,0)</f>
        <v>1.34326506718154</v>
      </c>
    </row>
    <row r="15" customFormat="false" ht="15" hidden="false" customHeight="false" outlineLevel="0" collapsed="false">
      <c r="A15" s="6" t="n">
        <v>19</v>
      </c>
      <c r="B15" s="5" t="n">
        <f aca="false">COUNTIFS(Data!$F$2:$F$937,$A15)</f>
        <v>28</v>
      </c>
      <c r="C15" s="5" t="n">
        <f aca="false">SUMIFS(Data!$G$2:$G$937,Data!$F$2:$F$937,$A15)</f>
        <v>6081495</v>
      </c>
      <c r="D15" s="5" t="n">
        <f aca="false">SUMIFS(Data!$H$2:$H$937,Data!$F$2:$F$937,$A15)</f>
        <v>1188</v>
      </c>
      <c r="E15" s="7" t="n">
        <f aca="false">SUMIFS(Data!$I$2:$I$937,Data!$F$2:$F$937,$A15)</f>
        <v>1940.359992608</v>
      </c>
      <c r="F15" s="5" t="n">
        <f aca="false">SUMIFS(Data!$J$2:$J$937,Data!$F$2:$F$937,$A15)</f>
        <v>93</v>
      </c>
      <c r="G15" s="5" t="n">
        <f aca="false">SUMIFS(Data!$K$2:$K$937,Data!$F$2:$F$937,$A15)</f>
        <v>33</v>
      </c>
      <c r="H15" s="8" t="n">
        <f aca="false">IFERROR(D15/C15,0)</f>
        <v>0.000195346703401055</v>
      </c>
      <c r="I15" s="9" t="n">
        <f aca="false">IFERROR(E15/C15*1000,0)</f>
        <v>0.319059703676152</v>
      </c>
      <c r="J15" s="10" t="n">
        <f aca="false">IFERROR(E15/D15,0)</f>
        <v>1.63329965707744</v>
      </c>
      <c r="K15" s="11" t="n">
        <f aca="false">IFERROR(F15/D15,0)</f>
        <v>0.0782828282828283</v>
      </c>
      <c r="L15" s="11" t="n">
        <f aca="false">IFERROR(G15/D15,0)</f>
        <v>0.0277777777777778</v>
      </c>
      <c r="M15" s="11" t="n">
        <f aca="false">IFERROR(G15/F15,0)</f>
        <v>0.354838709677419</v>
      </c>
      <c r="N15" s="10" t="n">
        <f aca="false">IFERROR(E15/F15,0)</f>
        <v>20.8640859420215</v>
      </c>
      <c r="O15" s="10" t="n">
        <f aca="false">IFERROR(E15/G15,0)</f>
        <v>58.7987876547879</v>
      </c>
      <c r="P15" s="11" t="n">
        <f aca="false">IFERROR(E15/E$45,0)</f>
        <v>0.0330525916343303</v>
      </c>
      <c r="Q15" s="11" t="n">
        <f aca="false">IFERROR(G15/G$45,0)</f>
        <v>0.032901296111665</v>
      </c>
      <c r="R15" s="12" t="n">
        <f aca="false">IFERROR(Q15/P15,0)</f>
        <v>0.995422582158184</v>
      </c>
    </row>
    <row r="16" customFormat="false" ht="15" hidden="false" customHeight="false" outlineLevel="0" collapsed="false">
      <c r="A16" s="6" t="n">
        <v>25</v>
      </c>
      <c r="B16" s="5" t="n">
        <f aca="false">COUNTIFS(Data!$F$2:$F$937,$A16)</f>
        <v>24</v>
      </c>
      <c r="C16" s="5" t="n">
        <f aca="false">SUMIFS(Data!$G$2:$G$937,Data!$F$2:$F$937,$A16)</f>
        <v>5250418</v>
      </c>
      <c r="D16" s="5" t="n">
        <f aca="false">SUMIFS(Data!$H$2:$H$937,Data!$F$2:$F$937,$A16)</f>
        <v>1066</v>
      </c>
      <c r="E16" s="7" t="n">
        <f aca="false">SUMIFS(Data!$I$2:$I$937,Data!$F$2:$F$937,$A16)</f>
        <v>1603.859994223</v>
      </c>
      <c r="F16" s="5" t="n">
        <f aca="false">SUMIFS(Data!$J$2:$J$937,Data!$F$2:$F$937,$A16)</f>
        <v>76</v>
      </c>
      <c r="G16" s="5" t="n">
        <f aca="false">SUMIFS(Data!$K$2:$K$937,Data!$F$2:$F$937,$A16)</f>
        <v>19</v>
      </c>
      <c r="H16" s="8" t="n">
        <f aca="false">IFERROR(D16/C16,0)</f>
        <v>0.000203031453876625</v>
      </c>
      <c r="I16" s="9" t="n">
        <f aca="false">IFERROR(E16/C16*1000,0)</f>
        <v>0.305472820301736</v>
      </c>
      <c r="J16" s="10" t="n">
        <f aca="false">IFERROR(E16/D16,0)</f>
        <v>1.50455909401782</v>
      </c>
      <c r="K16" s="11" t="n">
        <f aca="false">IFERROR(F16/D16,0)</f>
        <v>0.0712945590994372</v>
      </c>
      <c r="L16" s="11" t="n">
        <f aca="false">IFERROR(G16/D16,0)</f>
        <v>0.0178236397748593</v>
      </c>
      <c r="M16" s="11" t="n">
        <f aca="false">IFERROR(G16/F16,0)</f>
        <v>0.25</v>
      </c>
      <c r="N16" s="10" t="n">
        <f aca="false">IFERROR(E16/F16,0)</f>
        <v>21.1034209766184</v>
      </c>
      <c r="O16" s="10" t="n">
        <f aca="false">IFERROR(E16/G16,0)</f>
        <v>84.4136839064737</v>
      </c>
      <c r="P16" s="11" t="n">
        <f aca="false">IFERROR(E16/E$45,0)</f>
        <v>0.0273205640343265</v>
      </c>
      <c r="Q16" s="11" t="n">
        <f aca="false">IFERROR(G16/G$45,0)</f>
        <v>0.0189431704885344</v>
      </c>
      <c r="R16" s="12" t="n">
        <f aca="false">IFERROR(Q16/P16,0)</f>
        <v>0.693366742528945</v>
      </c>
    </row>
    <row r="17" customFormat="false" ht="15" hidden="false" customHeight="false" outlineLevel="0" collapsed="false">
      <c r="A17" s="6" t="n">
        <v>26</v>
      </c>
      <c r="B17" s="5" t="n">
        <f aca="false">COUNTIFS(Data!$F$2:$F$937,$A17)</f>
        <v>30</v>
      </c>
      <c r="C17" s="5" t="n">
        <f aca="false">SUMIFS(Data!$G$2:$G$937,Data!$F$2:$F$937,$A17)</f>
        <v>4848005</v>
      </c>
      <c r="D17" s="5" t="n">
        <f aca="false">SUMIFS(Data!$H$2:$H$937,Data!$F$2:$F$937,$A17)</f>
        <v>1113</v>
      </c>
      <c r="E17" s="7" t="n">
        <f aca="false">SUMIFS(Data!$I$2:$I$937,Data!$F$2:$F$937,$A17)</f>
        <v>1591.76999453</v>
      </c>
      <c r="F17" s="5" t="n">
        <f aca="false">SUMIFS(Data!$J$2:$J$937,Data!$F$2:$F$937,$A17)</f>
        <v>63</v>
      </c>
      <c r="G17" s="5" t="n">
        <f aca="false">SUMIFS(Data!$K$2:$K$937,Data!$F$2:$F$937,$A17)</f>
        <v>20</v>
      </c>
      <c r="H17" s="8" t="n">
        <f aca="false">IFERROR(D17/C17,0)</f>
        <v>0.0002295789711438</v>
      </c>
      <c r="I17" s="9" t="n">
        <f aca="false">IFERROR(E17/C17*1000,0)</f>
        <v>0.328335056281914</v>
      </c>
      <c r="J17" s="10" t="n">
        <f aca="false">IFERROR(E17/D17,0)</f>
        <v>1.43016172015274</v>
      </c>
      <c r="K17" s="11" t="n">
        <f aca="false">IFERROR(F17/D17,0)</f>
        <v>0.0566037735849057</v>
      </c>
      <c r="L17" s="11" t="n">
        <f aca="false">IFERROR(G17/D17,0)</f>
        <v>0.0179694519317161</v>
      </c>
      <c r="M17" s="11" t="n">
        <f aca="false">IFERROR(G17/F17,0)</f>
        <v>0.317460317460317</v>
      </c>
      <c r="N17" s="10" t="n">
        <f aca="false">IFERROR(E17/F17,0)</f>
        <v>25.2661903893651</v>
      </c>
      <c r="O17" s="10" t="n">
        <f aca="false">IFERROR(E17/G17,0)</f>
        <v>79.5884997265</v>
      </c>
      <c r="P17" s="11" t="n">
        <f aca="false">IFERROR(E17/E$45,0)</f>
        <v>0.027114619867144</v>
      </c>
      <c r="Q17" s="11" t="n">
        <f aca="false">IFERROR(G17/G$45,0)</f>
        <v>0.0199401794616152</v>
      </c>
      <c r="R17" s="12" t="n">
        <f aca="false">IFERROR(Q17/P17,0)</f>
        <v>0.735403245898999</v>
      </c>
    </row>
    <row r="18" customFormat="false" ht="15" hidden="false" customHeight="false" outlineLevel="0" collapsed="false">
      <c r="A18" s="6" t="n">
        <v>64</v>
      </c>
      <c r="B18" s="5" t="n">
        <f aca="false">COUNTIFS(Data!$F$2:$F$937,$A18)</f>
        <v>36</v>
      </c>
      <c r="C18" s="5" t="n">
        <f aca="false">SUMIFS(Data!$G$2:$G$937,Data!$F$2:$F$937,$A18)</f>
        <v>5068406</v>
      </c>
      <c r="D18" s="5" t="n">
        <f aca="false">SUMIFS(Data!$H$2:$H$937,Data!$F$2:$F$937,$A18)</f>
        <v>989</v>
      </c>
      <c r="E18" s="7" t="n">
        <f aca="false">SUMIFS(Data!$I$2:$I$937,Data!$F$2:$F$937,$A18)</f>
        <v>1486.129995663</v>
      </c>
      <c r="F18" s="5" t="n">
        <f aca="false">SUMIFS(Data!$J$2:$J$937,Data!$F$2:$F$937,$A18)</f>
        <v>72</v>
      </c>
      <c r="G18" s="5" t="n">
        <f aca="false">SUMIFS(Data!$K$2:$K$937,Data!$F$2:$F$937,$A18)</f>
        <v>22</v>
      </c>
      <c r="H18" s="8" t="n">
        <f aca="false">IFERROR(D18/C18,0)</f>
        <v>0.000195130382214842</v>
      </c>
      <c r="I18" s="9" t="n">
        <f aca="false">IFERROR(E18/C18*1000,0)</f>
        <v>0.293214473280751</v>
      </c>
      <c r="J18" s="10" t="n">
        <f aca="false">IFERROR(E18/D18,0)</f>
        <v>1.50265924738423</v>
      </c>
      <c r="K18" s="11" t="n">
        <f aca="false">IFERROR(F18/D18,0)</f>
        <v>0.0728008088978766</v>
      </c>
      <c r="L18" s="11" t="n">
        <f aca="false">IFERROR(G18/D18,0)</f>
        <v>0.0222446916076845</v>
      </c>
      <c r="M18" s="11" t="n">
        <f aca="false">IFERROR(G18/F18,0)</f>
        <v>0.305555555555556</v>
      </c>
      <c r="N18" s="10" t="n">
        <f aca="false">IFERROR(E18/F18,0)</f>
        <v>20.6406943842083</v>
      </c>
      <c r="O18" s="10" t="n">
        <f aca="false">IFERROR(E18/G18,0)</f>
        <v>67.5513634392273</v>
      </c>
      <c r="P18" s="11" t="n">
        <f aca="false">IFERROR(E18/E$45,0)</f>
        <v>0.0253151209308105</v>
      </c>
      <c r="Q18" s="11" t="n">
        <f aca="false">IFERROR(G18/G$45,0)</f>
        <v>0.0219341974077767</v>
      </c>
      <c r="R18" s="12" t="n">
        <f aca="false">IFERROR(Q18/P18,0)</f>
        <v>0.866446479466784</v>
      </c>
    </row>
    <row r="19" customFormat="false" ht="15" hidden="false" customHeight="false" outlineLevel="0" collapsed="false">
      <c r="A19" s="6" t="n">
        <v>22</v>
      </c>
      <c r="B19" s="5" t="n">
        <f aca="false">COUNTIFS(Data!$F$2:$F$937,$A19)</f>
        <v>31</v>
      </c>
      <c r="C19" s="5" t="n">
        <f aca="false">SUMIFS(Data!$G$2:$G$937,Data!$F$2:$F$937,$A19)</f>
        <v>3962275</v>
      </c>
      <c r="D19" s="5" t="n">
        <f aca="false">SUMIFS(Data!$H$2:$H$937,Data!$F$2:$F$937,$A19)</f>
        <v>717</v>
      </c>
      <c r="E19" s="7" t="n">
        <f aca="false">SUMIFS(Data!$I$2:$I$937,Data!$F$2:$F$937,$A19)</f>
        <v>1039.859997802</v>
      </c>
      <c r="F19" s="5" t="n">
        <f aca="false">SUMIFS(Data!$J$2:$J$937,Data!$F$2:$F$937,$A19)</f>
        <v>48</v>
      </c>
      <c r="G19" s="5" t="n">
        <f aca="false">SUMIFS(Data!$K$2:$K$937,Data!$F$2:$F$937,$A19)</f>
        <v>12</v>
      </c>
      <c r="H19" s="8" t="n">
        <f aca="false">IFERROR(D19/C19,0)</f>
        <v>0.000180956647380608</v>
      </c>
      <c r="I19" s="9" t="n">
        <f aca="false">IFERROR(E19/C19*1000,0)</f>
        <v>0.262440138002032</v>
      </c>
      <c r="J19" s="10" t="n">
        <f aca="false">IFERROR(E19/D19,0)</f>
        <v>1.45029288396374</v>
      </c>
      <c r="K19" s="11" t="n">
        <f aca="false">IFERROR(F19/D19,0)</f>
        <v>0.0669456066945607</v>
      </c>
      <c r="L19" s="11" t="n">
        <f aca="false">IFERROR(G19/D19,0)</f>
        <v>0.0167364016736402</v>
      </c>
      <c r="M19" s="11" t="n">
        <f aca="false">IFERROR(G19/F19,0)</f>
        <v>0.25</v>
      </c>
      <c r="N19" s="10" t="n">
        <f aca="false">IFERROR(E19/F19,0)</f>
        <v>21.6637499542083</v>
      </c>
      <c r="O19" s="10" t="n">
        <f aca="false">IFERROR(E19/G19,0)</f>
        <v>86.6549998168333</v>
      </c>
      <c r="P19" s="11" t="n">
        <f aca="false">IFERROR(E19/E$45,0)</f>
        <v>0.0177132429008851</v>
      </c>
      <c r="Q19" s="11" t="n">
        <f aca="false">IFERROR(G19/G$45,0)</f>
        <v>0.0119641076769691</v>
      </c>
      <c r="R19" s="12" t="n">
        <f aca="false">IFERROR(Q19/P19,0)</f>
        <v>0.675432937035561</v>
      </c>
    </row>
    <row r="20" customFormat="false" ht="15" hidden="false" customHeight="false" outlineLevel="0" collapsed="false">
      <c r="A20" s="6" t="n">
        <v>107</v>
      </c>
      <c r="B20" s="5" t="n">
        <f aca="false">COUNTIFS(Data!$F$2:$F$937,$A20)</f>
        <v>8</v>
      </c>
      <c r="C20" s="5" t="n">
        <f aca="false">SUMIFS(Data!$G$2:$G$937,Data!$F$2:$F$937,$A20)</f>
        <v>4482111</v>
      </c>
      <c r="D20" s="5" t="n">
        <f aca="false">SUMIFS(Data!$H$2:$H$937,Data!$F$2:$F$937,$A20)</f>
        <v>639</v>
      </c>
      <c r="E20" s="7" t="n">
        <f aca="false">SUMIFS(Data!$I$2:$I$937,Data!$F$2:$F$937,$A20)</f>
        <v>923.17999302</v>
      </c>
      <c r="F20" s="5" t="n">
        <f aca="false">SUMIFS(Data!$J$2:$J$937,Data!$F$2:$F$937,$A20)</f>
        <v>65</v>
      </c>
      <c r="G20" s="5" t="n">
        <f aca="false">SUMIFS(Data!$K$2:$K$937,Data!$F$2:$F$937,$A20)</f>
        <v>20</v>
      </c>
      <c r="H20" s="8" t="n">
        <f aca="false">IFERROR(D20/C20,0)</f>
        <v>0.000142566750354911</v>
      </c>
      <c r="I20" s="9" t="n">
        <f aca="false">IFERROR(E20/C20*1000,0)</f>
        <v>0.205969908603334</v>
      </c>
      <c r="J20" s="10" t="n">
        <f aca="false">IFERROR(E20/D20,0)</f>
        <v>1.44472612366197</v>
      </c>
      <c r="K20" s="11" t="n">
        <f aca="false">IFERROR(F20/D20,0)</f>
        <v>0.101721439749609</v>
      </c>
      <c r="L20" s="11" t="n">
        <f aca="false">IFERROR(G20/D20,0)</f>
        <v>0.0312989045383412</v>
      </c>
      <c r="M20" s="11" t="n">
        <f aca="false">IFERROR(G20/F20,0)</f>
        <v>0.307692307692308</v>
      </c>
      <c r="N20" s="10" t="n">
        <f aca="false">IFERROR(E20/F20,0)</f>
        <v>14.2027691233846</v>
      </c>
      <c r="O20" s="10" t="n">
        <f aca="false">IFERROR(E20/G20,0)</f>
        <v>46.158999651</v>
      </c>
      <c r="P20" s="11" t="n">
        <f aca="false">IFERROR(E20/E$45,0)</f>
        <v>0.0157256856616907</v>
      </c>
      <c r="Q20" s="11" t="n">
        <f aca="false">IFERROR(G20/G$45,0)</f>
        <v>0.0199401794616152</v>
      </c>
      <c r="R20" s="12" t="n">
        <f aca="false">IFERROR(Q20/P20,0)</f>
        <v>1.26800063861071</v>
      </c>
    </row>
    <row r="21" customFormat="false" ht="15" hidden="false" customHeight="false" outlineLevel="0" collapsed="false">
      <c r="A21" s="6" t="n">
        <v>21</v>
      </c>
      <c r="B21" s="5" t="n">
        <f aca="false">COUNTIFS(Data!$F$2:$F$937,$A21)</f>
        <v>25</v>
      </c>
      <c r="C21" s="5" t="n">
        <f aca="false">SUMIFS(Data!$G$2:$G$937,Data!$F$2:$F$937,$A21)</f>
        <v>2819023</v>
      </c>
      <c r="D21" s="5" t="n">
        <f aca="false">SUMIFS(Data!$H$2:$H$937,Data!$F$2:$F$937,$A21)</f>
        <v>512</v>
      </c>
      <c r="E21" s="7" t="n">
        <f aca="false">SUMIFS(Data!$I$2:$I$937,Data!$F$2:$F$937,$A21)</f>
        <v>824.20999891</v>
      </c>
      <c r="F21" s="5" t="n">
        <f aca="false">SUMIFS(Data!$J$2:$J$937,Data!$F$2:$F$937,$A21)</f>
        <v>60</v>
      </c>
      <c r="G21" s="5" t="n">
        <f aca="false">SUMIFS(Data!$K$2:$K$937,Data!$F$2:$F$937,$A21)</f>
        <v>22</v>
      </c>
      <c r="H21" s="8" t="n">
        <f aca="false">IFERROR(D21/C21,0)</f>
        <v>0.00018162320775673</v>
      </c>
      <c r="I21" s="9" t="n">
        <f aca="false">IFERROR(E21/C21*1000,0)</f>
        <v>0.292374343490635</v>
      </c>
      <c r="J21" s="10" t="n">
        <f aca="false">IFERROR(E21/D21,0)</f>
        <v>1.60978515412109</v>
      </c>
      <c r="K21" s="11" t="n">
        <f aca="false">IFERROR(F21/D21,0)</f>
        <v>0.1171875</v>
      </c>
      <c r="L21" s="11" t="n">
        <f aca="false">IFERROR(G21/D21,0)</f>
        <v>0.04296875</v>
      </c>
      <c r="M21" s="11" t="n">
        <f aca="false">IFERROR(G21/F21,0)</f>
        <v>0.366666666666667</v>
      </c>
      <c r="N21" s="10" t="n">
        <f aca="false">IFERROR(E21/F21,0)</f>
        <v>13.7368333151667</v>
      </c>
      <c r="O21" s="10" t="n">
        <f aca="false">IFERROR(E21/G21,0)</f>
        <v>37.4640908595455</v>
      </c>
      <c r="P21" s="11" t="n">
        <f aca="false">IFERROR(E21/E$45,0)</f>
        <v>0.0140398053034933</v>
      </c>
      <c r="Q21" s="11" t="n">
        <f aca="false">IFERROR(G21/G$45,0)</f>
        <v>0.0219341974077767</v>
      </c>
      <c r="R21" s="12" t="n">
        <f aca="false">IFERROR(Q21/P21,0)</f>
        <v>1.5622864372855</v>
      </c>
    </row>
    <row r="22" customFormat="false" ht="15" hidden="false" customHeight="false" outlineLevel="0" collapsed="false">
      <c r="A22" s="6" t="n">
        <v>109</v>
      </c>
      <c r="B22" s="5" t="n">
        <f aca="false">COUNTIFS(Data!$F$2:$F$937,$A22)</f>
        <v>6</v>
      </c>
      <c r="C22" s="5" t="n">
        <f aca="false">SUMIFS(Data!$G$2:$G$937,Data!$F$2:$F$937,$A22)</f>
        <v>2980365</v>
      </c>
      <c r="D22" s="5" t="n">
        <f aca="false">SUMIFS(Data!$H$2:$H$937,Data!$F$2:$F$937,$A22)</f>
        <v>572</v>
      </c>
      <c r="E22" s="7" t="n">
        <f aca="false">SUMIFS(Data!$I$2:$I$937,Data!$F$2:$F$937,$A22)</f>
        <v>815.82000146</v>
      </c>
      <c r="F22" s="5" t="n">
        <f aca="false">SUMIFS(Data!$J$2:$J$937,Data!$F$2:$F$937,$A22)</f>
        <v>38</v>
      </c>
      <c r="G22" s="5" t="n">
        <f aca="false">SUMIFS(Data!$K$2:$K$937,Data!$F$2:$F$937,$A22)</f>
        <v>8</v>
      </c>
      <c r="H22" s="8" t="n">
        <f aca="false">IFERROR(D22/C22,0)</f>
        <v>0.000191922801401842</v>
      </c>
      <c r="I22" s="9" t="n">
        <f aca="false">IFERROR(E22/C22*1000,0)</f>
        <v>0.273731573636115</v>
      </c>
      <c r="J22" s="10" t="n">
        <f aca="false">IFERROR(E22/D22,0)</f>
        <v>1.42625874381119</v>
      </c>
      <c r="K22" s="11" t="n">
        <f aca="false">IFERROR(F22/D22,0)</f>
        <v>0.0664335664335664</v>
      </c>
      <c r="L22" s="11" t="n">
        <f aca="false">IFERROR(G22/D22,0)</f>
        <v>0.013986013986014</v>
      </c>
      <c r="M22" s="11" t="n">
        <f aca="false">IFERROR(G22/F22,0)</f>
        <v>0.210526315789474</v>
      </c>
      <c r="N22" s="10" t="n">
        <f aca="false">IFERROR(E22/F22,0)</f>
        <v>21.4689474068421</v>
      </c>
      <c r="O22" s="10" t="n">
        <f aca="false">IFERROR(E22/G22,0)</f>
        <v>101.9775001825</v>
      </c>
      <c r="P22" s="11" t="n">
        <f aca="false">IFERROR(E22/E$45,0)</f>
        <v>0.0138968879270351</v>
      </c>
      <c r="Q22" s="11" t="n">
        <f aca="false">IFERROR(G22/G$45,0)</f>
        <v>0.00797607178464606</v>
      </c>
      <c r="R22" s="12" t="n">
        <f aca="false">IFERROR(Q22/P22,0)</f>
        <v>0.573946614992076</v>
      </c>
    </row>
    <row r="23" customFormat="false" ht="15" hidden="false" customHeight="false" outlineLevel="0" collapsed="false">
      <c r="A23" s="6" t="n">
        <v>101</v>
      </c>
      <c r="B23" s="5" t="n">
        <f aca="false">COUNTIFS(Data!$F$2:$F$937,$A23)</f>
        <v>7</v>
      </c>
      <c r="C23" s="5" t="n">
        <f aca="false">SUMIFS(Data!$G$2:$G$937,Data!$F$2:$F$937,$A23)</f>
        <v>2960453</v>
      </c>
      <c r="D23" s="5" t="n">
        <f aca="false">SUMIFS(Data!$H$2:$H$937,Data!$F$2:$F$937,$A23)</f>
        <v>524</v>
      </c>
      <c r="E23" s="7" t="n">
        <f aca="false">SUMIFS(Data!$I$2:$I$937,Data!$F$2:$F$937,$A23)</f>
        <v>757.68999773</v>
      </c>
      <c r="F23" s="5" t="n">
        <f aca="false">SUMIFS(Data!$J$2:$J$937,Data!$F$2:$F$937,$A23)</f>
        <v>71</v>
      </c>
      <c r="G23" s="5" t="n">
        <f aca="false">SUMIFS(Data!$K$2:$K$937,Data!$F$2:$F$937,$A23)</f>
        <v>25</v>
      </c>
      <c r="H23" s="8" t="n">
        <f aca="false">IFERROR(D23/C23,0)</f>
        <v>0.000176999938860708</v>
      </c>
      <c r="I23" s="9" t="n">
        <f aca="false">IFERROR(E23/C23*1000,0)</f>
        <v>0.255937181819809</v>
      </c>
      <c r="J23" s="10" t="n">
        <f aca="false">IFERROR(E23/D23,0)</f>
        <v>1.44597327811069</v>
      </c>
      <c r="K23" s="11" t="n">
        <f aca="false">IFERROR(F23/D23,0)</f>
        <v>0.135496183206107</v>
      </c>
      <c r="L23" s="11" t="n">
        <f aca="false">IFERROR(G23/D23,0)</f>
        <v>0.0477099236641221</v>
      </c>
      <c r="M23" s="11" t="n">
        <f aca="false">IFERROR(G23/F23,0)</f>
        <v>0.352112676056338</v>
      </c>
      <c r="N23" s="10" t="n">
        <f aca="false">IFERROR(E23/F23,0)</f>
        <v>10.6716901088732</v>
      </c>
      <c r="O23" s="10" t="n">
        <f aca="false">IFERROR(E23/G23,0)</f>
        <v>30.3075999092</v>
      </c>
      <c r="P23" s="11" t="n">
        <f aca="false">IFERROR(E23/E$45,0)</f>
        <v>0.0129066864786908</v>
      </c>
      <c r="Q23" s="11" t="n">
        <f aca="false">IFERROR(G23/G$45,0)</f>
        <v>0.0249252243270189</v>
      </c>
      <c r="R23" s="12" t="n">
        <f aca="false">IFERROR(Q23/P23,0)</f>
        <v>1.93118693695481</v>
      </c>
    </row>
    <row r="24" customFormat="false" ht="15" hidden="false" customHeight="false" outlineLevel="0" collapsed="false">
      <c r="A24" s="6" t="n">
        <v>24</v>
      </c>
      <c r="B24" s="5" t="n">
        <f aca="false">COUNTIFS(Data!$F$2:$F$937,$A24)</f>
        <v>22</v>
      </c>
      <c r="C24" s="5" t="n">
        <f aca="false">SUMIFS(Data!$G$2:$G$937,Data!$F$2:$F$937,$A24)</f>
        <v>2255798</v>
      </c>
      <c r="D24" s="5" t="n">
        <f aca="false">SUMIFS(Data!$H$2:$H$937,Data!$F$2:$F$937,$A24)</f>
        <v>419</v>
      </c>
      <c r="E24" s="7" t="n">
        <f aca="false">SUMIFS(Data!$I$2:$I$937,Data!$F$2:$F$937,$A24)</f>
        <v>670.059998901</v>
      </c>
      <c r="F24" s="5" t="n">
        <f aca="false">SUMIFS(Data!$J$2:$J$937,Data!$F$2:$F$937,$A24)</f>
        <v>37</v>
      </c>
      <c r="G24" s="5" t="n">
        <f aca="false">SUMIFS(Data!$K$2:$K$937,Data!$F$2:$F$937,$A24)</f>
        <v>13</v>
      </c>
      <c r="H24" s="8" t="n">
        <f aca="false">IFERROR(D24/C24,0)</f>
        <v>0.000185743581650485</v>
      </c>
      <c r="I24" s="9" t="n">
        <f aca="false">IFERROR(E24/C24*1000,0)</f>
        <v>0.297039007438166</v>
      </c>
      <c r="J24" s="10" t="n">
        <f aca="false">IFERROR(E24/D24,0)</f>
        <v>1.59918854152983</v>
      </c>
      <c r="K24" s="11" t="n">
        <f aca="false">IFERROR(F24/D24,0)</f>
        <v>0.0883054892601432</v>
      </c>
      <c r="L24" s="11" t="n">
        <f aca="false">IFERROR(G24/D24,0)</f>
        <v>0.0310262529832936</v>
      </c>
      <c r="M24" s="11" t="n">
        <f aca="false">IFERROR(G24/F24,0)</f>
        <v>0.351351351351351</v>
      </c>
      <c r="N24" s="10" t="n">
        <f aca="false">IFERROR(E24/F24,0)</f>
        <v>18.109729700027</v>
      </c>
      <c r="O24" s="10" t="n">
        <f aca="false">IFERROR(E24/G24,0)</f>
        <v>51.5430768385385</v>
      </c>
      <c r="P24" s="11" t="n">
        <f aca="false">IFERROR(E24/E$45,0)</f>
        <v>0.0114139745194431</v>
      </c>
      <c r="Q24" s="11" t="n">
        <f aca="false">IFERROR(G24/G$45,0)</f>
        <v>0.0129611166500499</v>
      </c>
      <c r="R24" s="12" t="n">
        <f aca="false">IFERROR(Q24/P24,0)</f>
        <v>1.13554806241868</v>
      </c>
    </row>
    <row r="25" customFormat="false" ht="15" hidden="false" customHeight="false" outlineLevel="0" collapsed="false">
      <c r="A25" s="6" t="n">
        <v>7</v>
      </c>
      <c r="B25" s="5" t="n">
        <f aca="false">COUNTIFS(Data!$F$2:$F$937,$A25)</f>
        <v>17</v>
      </c>
      <c r="C25" s="5" t="n">
        <f aca="false">SUMIFS(Data!$G$2:$G$937,Data!$F$2:$F$937,$A25)</f>
        <v>2606575</v>
      </c>
      <c r="D25" s="5" t="n">
        <f aca="false">SUMIFS(Data!$H$2:$H$937,Data!$F$2:$F$937,$A25)</f>
        <v>410</v>
      </c>
      <c r="E25" s="7" t="n">
        <f aca="false">SUMIFS(Data!$I$2:$I$937,Data!$F$2:$F$937,$A25)</f>
        <v>648.929998696</v>
      </c>
      <c r="F25" s="5" t="n">
        <f aca="false">SUMIFS(Data!$J$2:$J$937,Data!$F$2:$F$937,$A25)</f>
        <v>52</v>
      </c>
      <c r="G25" s="5" t="n">
        <f aca="false">SUMIFS(Data!$K$2:$K$937,Data!$F$2:$F$937,$A25)</f>
        <v>16</v>
      </c>
      <c r="H25" s="8" t="n">
        <f aca="false">IFERROR(D25/C25,0)</f>
        <v>0.000157294534014943</v>
      </c>
      <c r="I25" s="9" t="n">
        <f aca="false">IFERROR(E25/C25*1000,0)</f>
        <v>0.24895888232489</v>
      </c>
      <c r="J25" s="10" t="n">
        <f aca="false">IFERROR(E25/D25,0)</f>
        <v>1.58275609438049</v>
      </c>
      <c r="K25" s="11" t="n">
        <f aca="false">IFERROR(F25/D25,0)</f>
        <v>0.126829268292683</v>
      </c>
      <c r="L25" s="11" t="n">
        <f aca="false">IFERROR(G25/D25,0)</f>
        <v>0.0390243902439024</v>
      </c>
      <c r="M25" s="11" t="n">
        <f aca="false">IFERROR(G25/F25,0)</f>
        <v>0.307692307692308</v>
      </c>
      <c r="N25" s="10" t="n">
        <f aca="false">IFERROR(E25/F25,0)</f>
        <v>12.4794230518462</v>
      </c>
      <c r="O25" s="10" t="n">
        <f aca="false">IFERROR(E25/G25,0)</f>
        <v>40.5581249185</v>
      </c>
      <c r="P25" s="11" t="n">
        <f aca="false">IFERROR(E25/E$45,0)</f>
        <v>0.0110540406563096</v>
      </c>
      <c r="Q25" s="11" t="n">
        <f aca="false">IFERROR(G25/G$45,0)</f>
        <v>0.0159521435692921</v>
      </c>
      <c r="R25" s="12" t="n">
        <f aca="false">IFERROR(Q25/P25,0)</f>
        <v>1.44310520155241</v>
      </c>
    </row>
    <row r="26" customFormat="false" ht="15" hidden="false" customHeight="false" outlineLevel="0" collapsed="false">
      <c r="A26" s="6" t="n">
        <v>105</v>
      </c>
      <c r="B26" s="5" t="n">
        <f aca="false">COUNTIFS(Data!$F$2:$F$937,$A26)</f>
        <v>7</v>
      </c>
      <c r="C26" s="5" t="n">
        <f aca="false">SUMIFS(Data!$G$2:$G$937,Data!$F$2:$F$937,$A26)</f>
        <v>2656351</v>
      </c>
      <c r="D26" s="5" t="n">
        <f aca="false">SUMIFS(Data!$H$2:$H$937,Data!$F$2:$F$937,$A26)</f>
        <v>453</v>
      </c>
      <c r="E26" s="7" t="n">
        <f aca="false">SUMIFS(Data!$I$2:$I$937,Data!$F$2:$F$937,$A26)</f>
        <v>647.79999262</v>
      </c>
      <c r="F26" s="5" t="n">
        <f aca="false">SUMIFS(Data!$J$2:$J$937,Data!$F$2:$F$937,$A26)</f>
        <v>32</v>
      </c>
      <c r="G26" s="5" t="n">
        <f aca="false">SUMIFS(Data!$K$2:$K$937,Data!$F$2:$F$937,$A26)</f>
        <v>6</v>
      </c>
      <c r="H26" s="8" t="n">
        <f aca="false">IFERROR(D26/C26,0)</f>
        <v>0.000170534692139706</v>
      </c>
      <c r="I26" s="9" t="n">
        <f aca="false">IFERROR(E26/C26*1000,0)</f>
        <v>0.243868371544273</v>
      </c>
      <c r="J26" s="10" t="n">
        <f aca="false">IFERROR(E26/D26,0)</f>
        <v>1.4300220587638</v>
      </c>
      <c r="K26" s="11" t="n">
        <f aca="false">IFERROR(F26/D26,0)</f>
        <v>0.0706401766004415</v>
      </c>
      <c r="L26" s="11" t="n">
        <f aca="false">IFERROR(G26/D26,0)</f>
        <v>0.0132450331125828</v>
      </c>
      <c r="M26" s="11" t="n">
        <f aca="false">IFERROR(G26/F26,0)</f>
        <v>0.1875</v>
      </c>
      <c r="N26" s="10" t="n">
        <f aca="false">IFERROR(E26/F26,0)</f>
        <v>20.243749769375</v>
      </c>
      <c r="O26" s="10" t="n">
        <f aca="false">IFERROR(E26/G26,0)</f>
        <v>107.966665436667</v>
      </c>
      <c r="P26" s="11" t="n">
        <f aca="false">IFERROR(E26/E$45,0)</f>
        <v>0.0110347918419057</v>
      </c>
      <c r="Q26" s="11" t="n">
        <f aca="false">IFERROR(G26/G$45,0)</f>
        <v>0.00598205383848455</v>
      </c>
      <c r="R26" s="12" t="n">
        <f aca="false">IFERROR(Q26/P26,0)</f>
        <v>0.542108444290458</v>
      </c>
    </row>
    <row r="27" customFormat="false" ht="15" hidden="false" customHeight="false" outlineLevel="0" collapsed="false">
      <c r="A27" s="6" t="n">
        <v>30</v>
      </c>
      <c r="B27" s="5" t="n">
        <f aca="false">COUNTIFS(Data!$F$2:$F$937,$A27)</f>
        <v>19</v>
      </c>
      <c r="C27" s="5" t="n">
        <f aca="false">SUMIFS(Data!$G$2:$G$937,Data!$F$2:$F$937,$A27)</f>
        <v>2187002</v>
      </c>
      <c r="D27" s="5" t="n">
        <f aca="false">SUMIFS(Data!$H$2:$H$937,Data!$F$2:$F$937,$A27)</f>
        <v>389</v>
      </c>
      <c r="E27" s="7" t="n">
        <f aca="false">SUMIFS(Data!$I$2:$I$937,Data!$F$2:$F$937,$A27)</f>
        <v>616.630002616</v>
      </c>
      <c r="F27" s="5" t="n">
        <f aca="false">SUMIFS(Data!$J$2:$J$937,Data!$F$2:$F$937,$A27)</f>
        <v>37</v>
      </c>
      <c r="G27" s="5" t="n">
        <f aca="false">SUMIFS(Data!$K$2:$K$937,Data!$F$2:$F$937,$A27)</f>
        <v>10</v>
      </c>
      <c r="H27" s="8" t="n">
        <f aca="false">IFERROR(D27/C27,0)</f>
        <v>0.000177869064591619</v>
      </c>
      <c r="I27" s="9" t="n">
        <f aca="false">IFERROR(E27/C27*1000,0)</f>
        <v>0.281952189625798</v>
      </c>
      <c r="J27" s="10" t="n">
        <f aca="false">IFERROR(E27/D27,0)</f>
        <v>1.58516710184062</v>
      </c>
      <c r="K27" s="11" t="n">
        <f aca="false">IFERROR(F27/D27,0)</f>
        <v>0.0951156812339332</v>
      </c>
      <c r="L27" s="11" t="n">
        <f aca="false">IFERROR(G27/D27,0)</f>
        <v>0.025706940874036</v>
      </c>
      <c r="M27" s="11" t="n">
        <f aca="false">IFERROR(G27/F27,0)</f>
        <v>0.27027027027027</v>
      </c>
      <c r="N27" s="10" t="n">
        <f aca="false">IFERROR(E27/F27,0)</f>
        <v>16.6656757463784</v>
      </c>
      <c r="O27" s="10" t="n">
        <f aca="false">IFERROR(E27/G27,0)</f>
        <v>61.6630002616</v>
      </c>
      <c r="P27" s="11" t="n">
        <f aca="false">IFERROR(E27/E$45,0)</f>
        <v>0.0105038342078722</v>
      </c>
      <c r="Q27" s="11" t="n">
        <f aca="false">IFERROR(G27/G$45,0)</f>
        <v>0.00997008973080758</v>
      </c>
      <c r="R27" s="12" t="n">
        <f aca="false">IFERROR(Q27/P27,0)</f>
        <v>0.949185748127608</v>
      </c>
    </row>
    <row r="28" customFormat="false" ht="15" hidden="false" customHeight="false" outlineLevel="0" collapsed="false">
      <c r="A28" s="6" t="n">
        <v>23</v>
      </c>
      <c r="B28" s="5" t="n">
        <f aca="false">COUNTIFS(Data!$F$2:$F$937,$A28)</f>
        <v>18</v>
      </c>
      <c r="C28" s="5" t="n">
        <f aca="false">SUMIFS(Data!$G$2:$G$937,Data!$F$2:$F$937,$A28)</f>
        <v>1826570</v>
      </c>
      <c r="D28" s="5" t="n">
        <f aca="false">SUMIFS(Data!$H$2:$H$937,Data!$F$2:$F$937,$A28)</f>
        <v>375</v>
      </c>
      <c r="E28" s="7" t="n">
        <f aca="false">SUMIFS(Data!$I$2:$I$937,Data!$F$2:$F$937,$A28)</f>
        <v>595.650000919</v>
      </c>
      <c r="F28" s="5" t="n">
        <f aca="false">SUMIFS(Data!$J$2:$J$937,Data!$F$2:$F$937,$A28)</f>
        <v>24</v>
      </c>
      <c r="G28" s="5" t="n">
        <f aca="false">SUMIFS(Data!$K$2:$K$937,Data!$F$2:$F$937,$A28)</f>
        <v>5</v>
      </c>
      <c r="H28" s="8" t="n">
        <f aca="false">IFERROR(D28/C28,0)</f>
        <v>0.000205302835369025</v>
      </c>
      <c r="I28" s="9" t="n">
        <f aca="false">IFERROR(E28/C28*1000,0)</f>
        <v>0.326103024203288</v>
      </c>
      <c r="J28" s="10" t="n">
        <f aca="false">IFERROR(E28/D28,0)</f>
        <v>1.58840000245067</v>
      </c>
      <c r="K28" s="11" t="n">
        <f aca="false">IFERROR(F28/D28,0)</f>
        <v>0.064</v>
      </c>
      <c r="L28" s="11" t="n">
        <f aca="false">IFERROR(G28/D28,0)</f>
        <v>0.0133333333333333</v>
      </c>
      <c r="M28" s="11" t="n">
        <f aca="false">IFERROR(G28/F28,0)</f>
        <v>0.208333333333333</v>
      </c>
      <c r="N28" s="10" t="n">
        <f aca="false">IFERROR(E28/F28,0)</f>
        <v>24.8187500382917</v>
      </c>
      <c r="O28" s="10" t="n">
        <f aca="false">IFERROR(E28/G28,0)</f>
        <v>119.1300001838</v>
      </c>
      <c r="P28" s="11" t="n">
        <f aca="false">IFERROR(E28/E$45,0)</f>
        <v>0.0101464554579391</v>
      </c>
      <c r="Q28" s="11" t="n">
        <f aca="false">IFERROR(G28/G$45,0)</f>
        <v>0.00498504486540379</v>
      </c>
      <c r="R28" s="12" t="n">
        <f aca="false">IFERROR(Q28/P28,0)</f>
        <v>0.491308998109604</v>
      </c>
    </row>
    <row r="29" customFormat="false" ht="15" hidden="false" customHeight="false" outlineLevel="0" collapsed="false">
      <c r="A29" s="6" t="n">
        <v>108</v>
      </c>
      <c r="B29" s="5" t="n">
        <f aca="false">COUNTIFS(Data!$F$2:$F$937,$A29)</f>
        <v>7</v>
      </c>
      <c r="C29" s="5" t="n">
        <f aca="false">SUMIFS(Data!$G$2:$G$937,Data!$F$2:$F$937,$A29)</f>
        <v>2763404</v>
      </c>
      <c r="D29" s="5" t="n">
        <f aca="false">SUMIFS(Data!$H$2:$H$937,Data!$F$2:$F$937,$A29)</f>
        <v>402</v>
      </c>
      <c r="E29" s="7" t="n">
        <f aca="false">SUMIFS(Data!$I$2:$I$937,Data!$F$2:$F$937,$A29)</f>
        <v>586.2000036</v>
      </c>
      <c r="F29" s="5" t="n">
        <f aca="false">SUMIFS(Data!$J$2:$J$937,Data!$F$2:$F$937,$A29)</f>
        <v>35</v>
      </c>
      <c r="G29" s="5" t="n">
        <f aca="false">SUMIFS(Data!$K$2:$K$937,Data!$F$2:$F$937,$A29)</f>
        <v>7</v>
      </c>
      <c r="H29" s="8" t="n">
        <f aca="false">IFERROR(D29/C29,0)</f>
        <v>0.000145472757512112</v>
      </c>
      <c r="I29" s="9" t="n">
        <f aca="false">IFERROR(E29/C29*1000,0)</f>
        <v>0.212129679048015</v>
      </c>
      <c r="J29" s="10" t="n">
        <f aca="false">IFERROR(E29/D29,0)</f>
        <v>1.4582089641791</v>
      </c>
      <c r="K29" s="11" t="n">
        <f aca="false">IFERROR(F29/D29,0)</f>
        <v>0.0870646766169154</v>
      </c>
      <c r="L29" s="11" t="n">
        <f aca="false">IFERROR(G29/D29,0)</f>
        <v>0.0174129353233831</v>
      </c>
      <c r="M29" s="11" t="n">
        <f aca="false">IFERROR(G29/F29,0)</f>
        <v>0.2</v>
      </c>
      <c r="N29" s="10" t="n">
        <f aca="false">IFERROR(E29/F29,0)</f>
        <v>16.7485715314286</v>
      </c>
      <c r="O29" s="10" t="n">
        <f aca="false">IFERROR(E29/G29,0)</f>
        <v>83.7428576571429</v>
      </c>
      <c r="P29" s="11" t="n">
        <f aca="false">IFERROR(E29/E$45,0)</f>
        <v>0.00998548177082933</v>
      </c>
      <c r="Q29" s="11" t="n">
        <f aca="false">IFERROR(G29/G$45,0)</f>
        <v>0.0069790628115653</v>
      </c>
      <c r="R29" s="12" t="n">
        <f aca="false">IFERROR(Q29/P29,0)</f>
        <v>0.698920990668001</v>
      </c>
    </row>
    <row r="30" customFormat="false" ht="15" hidden="false" customHeight="false" outlineLevel="0" collapsed="false">
      <c r="A30" s="6" t="n">
        <v>100</v>
      </c>
      <c r="B30" s="5" t="n">
        <f aca="false">COUNTIFS(Data!$F$2:$F$937,$A30)</f>
        <v>6</v>
      </c>
      <c r="C30" s="5" t="n">
        <f aca="false">SUMIFS(Data!$G$2:$G$937,Data!$F$2:$F$937,$A30)</f>
        <v>2023690</v>
      </c>
      <c r="D30" s="5" t="n">
        <f aca="false">SUMIFS(Data!$H$2:$H$937,Data!$F$2:$F$937,$A30)</f>
        <v>395</v>
      </c>
      <c r="E30" s="7" t="n">
        <f aca="false">SUMIFS(Data!$I$2:$I$937,Data!$F$2:$F$937,$A30)</f>
        <v>574.309992058</v>
      </c>
      <c r="F30" s="5" t="n">
        <f aca="false">SUMIFS(Data!$J$2:$J$937,Data!$F$2:$F$937,$A30)</f>
        <v>38</v>
      </c>
      <c r="G30" s="5" t="n">
        <f aca="false">SUMIFS(Data!$K$2:$K$937,Data!$F$2:$F$937,$A30)</f>
        <v>9</v>
      </c>
      <c r="H30" s="8" t="n">
        <f aca="false">IFERROR(D30/C30,0)</f>
        <v>0.000195187998161774</v>
      </c>
      <c r="I30" s="9" t="n">
        <f aca="false">IFERROR(E30/C30*1000,0)</f>
        <v>0.283793462466089</v>
      </c>
      <c r="J30" s="10" t="n">
        <f aca="false">IFERROR(E30/D30,0)</f>
        <v>1.45394934698228</v>
      </c>
      <c r="K30" s="11" t="n">
        <f aca="false">IFERROR(F30/D30,0)</f>
        <v>0.0962025316455696</v>
      </c>
      <c r="L30" s="11" t="n">
        <f aca="false">IFERROR(G30/D30,0)</f>
        <v>0.0227848101265823</v>
      </c>
      <c r="M30" s="11" t="n">
        <f aca="false">IFERROR(G30/F30,0)</f>
        <v>0.236842105263158</v>
      </c>
      <c r="N30" s="10" t="n">
        <f aca="false">IFERROR(E30/F30,0)</f>
        <v>15.1134208436316</v>
      </c>
      <c r="O30" s="10" t="n">
        <f aca="false">IFERROR(E30/G30,0)</f>
        <v>63.8122213397778</v>
      </c>
      <c r="P30" s="11" t="n">
        <f aca="false">IFERROR(E30/E$45,0)</f>
        <v>0.00978294425329529</v>
      </c>
      <c r="Q30" s="11" t="n">
        <f aca="false">IFERROR(G30/G$45,0)</f>
        <v>0.00897308075772682</v>
      </c>
      <c r="R30" s="12" t="n">
        <f aca="false">IFERROR(Q30/P30,0)</f>
        <v>0.917216793370189</v>
      </c>
    </row>
    <row r="31" customFormat="false" ht="15" hidden="false" customHeight="false" outlineLevel="0" collapsed="false">
      <c r="A31" s="6" t="n">
        <v>65</v>
      </c>
      <c r="B31" s="5" t="n">
        <f aca="false">COUNTIFS(Data!$F$2:$F$937,$A31)</f>
        <v>15</v>
      </c>
      <c r="C31" s="5" t="n">
        <f aca="false">SUMIFS(Data!$G$2:$G$937,Data!$F$2:$F$937,$A31)</f>
        <v>1733358</v>
      </c>
      <c r="D31" s="5" t="n">
        <f aca="false">SUMIFS(Data!$H$2:$H$937,Data!$F$2:$F$937,$A31)</f>
        <v>372</v>
      </c>
      <c r="E31" s="7" t="n">
        <f aca="false">SUMIFS(Data!$I$2:$I$937,Data!$F$2:$F$937,$A31)</f>
        <v>542.010000733</v>
      </c>
      <c r="F31" s="5" t="n">
        <f aca="false">SUMIFS(Data!$J$2:$J$937,Data!$F$2:$F$937,$A31)</f>
        <v>29</v>
      </c>
      <c r="G31" s="5" t="n">
        <f aca="false">SUMIFS(Data!$K$2:$K$937,Data!$F$2:$F$937,$A31)</f>
        <v>16</v>
      </c>
      <c r="H31" s="8" t="n">
        <f aca="false">IFERROR(D31/C31,0)</f>
        <v>0.000214612330516835</v>
      </c>
      <c r="I31" s="9" t="n">
        <f aca="false">IFERROR(E31/C31*1000,0)</f>
        <v>0.312693627475109</v>
      </c>
      <c r="J31" s="10" t="n">
        <f aca="false">IFERROR(E31/D31,0)</f>
        <v>1.45701613100269</v>
      </c>
      <c r="K31" s="11" t="n">
        <f aca="false">IFERROR(F31/D31,0)</f>
        <v>0.0779569892473118</v>
      </c>
      <c r="L31" s="11" t="n">
        <f aca="false">IFERROR(G31/D31,0)</f>
        <v>0.043010752688172</v>
      </c>
      <c r="M31" s="11" t="n">
        <f aca="false">IFERROR(G31/F31,0)</f>
        <v>0.551724137931035</v>
      </c>
      <c r="N31" s="10" t="n">
        <f aca="false">IFERROR(E31/F31,0)</f>
        <v>18.6900000252759</v>
      </c>
      <c r="O31" s="10" t="n">
        <f aca="false">IFERROR(E31/G31,0)</f>
        <v>33.8756250458125</v>
      </c>
      <c r="P31" s="11" t="n">
        <f aca="false">IFERROR(E31/E$45,0)</f>
        <v>0.00923273788585586</v>
      </c>
      <c r="Q31" s="11" t="n">
        <f aca="false">IFERROR(G31/G$45,0)</f>
        <v>0.0159521435692921</v>
      </c>
      <c r="R31" s="12" t="n">
        <f aca="false">IFERROR(Q31/P31,0)</f>
        <v>1.72778040127513</v>
      </c>
    </row>
    <row r="32" customFormat="false" ht="15" hidden="false" customHeight="false" outlineLevel="0" collapsed="false">
      <c r="A32" s="6" t="n">
        <v>110</v>
      </c>
      <c r="B32" s="5" t="n">
        <f aca="false">COUNTIFS(Data!$F$2:$F$937,$A32)</f>
        <v>8</v>
      </c>
      <c r="C32" s="5" t="n">
        <f aca="false">SUMIFS(Data!$G$2:$G$937,Data!$F$2:$F$937,$A32)</f>
        <v>2434719</v>
      </c>
      <c r="D32" s="5" t="n">
        <f aca="false">SUMIFS(Data!$H$2:$H$937,Data!$F$2:$F$937,$A32)</f>
        <v>365</v>
      </c>
      <c r="E32" s="7" t="n">
        <f aca="false">SUMIFS(Data!$I$2:$I$937,Data!$F$2:$F$937,$A32)</f>
        <v>521.35000483</v>
      </c>
      <c r="F32" s="5" t="n">
        <f aca="false">SUMIFS(Data!$J$2:$J$937,Data!$F$2:$F$937,$A32)</f>
        <v>36</v>
      </c>
      <c r="G32" s="5" t="n">
        <f aca="false">SUMIFS(Data!$K$2:$K$937,Data!$F$2:$F$937,$A32)</f>
        <v>9</v>
      </c>
      <c r="H32" s="8" t="n">
        <f aca="false">IFERROR(D32/C32,0)</f>
        <v>0.000149914630805444</v>
      </c>
      <c r="I32" s="9" t="n">
        <f aca="false">IFERROR(E32/C32*1000,0)</f>
        <v>0.214131489026044</v>
      </c>
      <c r="J32" s="10" t="n">
        <f aca="false">IFERROR(E32/D32,0)</f>
        <v>1.42835617761644</v>
      </c>
      <c r="K32" s="11" t="n">
        <f aca="false">IFERROR(F32/D32,0)</f>
        <v>0.0986301369863014</v>
      </c>
      <c r="L32" s="11" t="n">
        <f aca="false">IFERROR(G32/D32,0)</f>
        <v>0.0246575342465753</v>
      </c>
      <c r="M32" s="11" t="n">
        <f aca="false">IFERROR(G32/F32,0)</f>
        <v>0.25</v>
      </c>
      <c r="N32" s="10" t="n">
        <f aca="false">IFERROR(E32/F32,0)</f>
        <v>14.4819445786111</v>
      </c>
      <c r="O32" s="10" t="n">
        <f aca="false">IFERROR(E32/G32,0)</f>
        <v>57.9277783144444</v>
      </c>
      <c r="P32" s="11" t="n">
        <f aca="false">IFERROR(E32/E$45,0)</f>
        <v>0.00888081019699903</v>
      </c>
      <c r="Q32" s="11" t="n">
        <f aca="false">IFERROR(G32/G$45,0)</f>
        <v>0.00897308075772682</v>
      </c>
      <c r="R32" s="12" t="n">
        <f aca="false">IFERROR(Q32/P32,0)</f>
        <v>1.01038988095466</v>
      </c>
    </row>
    <row r="33" customFormat="false" ht="15" hidden="false" customHeight="false" outlineLevel="0" collapsed="false">
      <c r="A33" s="6" t="n">
        <v>2</v>
      </c>
      <c r="B33" s="5" t="n">
        <f aca="false">COUNTIFS(Data!$F$2:$F$937,$A33)</f>
        <v>19</v>
      </c>
      <c r="C33" s="5" t="n">
        <f aca="false">SUMIFS(Data!$G$2:$G$937,Data!$F$2:$F$937,$A33)</f>
        <v>1711374</v>
      </c>
      <c r="D33" s="5" t="n">
        <f aca="false">SUMIFS(Data!$H$2:$H$937,Data!$F$2:$F$937,$A33)</f>
        <v>311</v>
      </c>
      <c r="E33" s="7" t="n">
        <f aca="false">SUMIFS(Data!$I$2:$I$937,Data!$F$2:$F$937,$A33)</f>
        <v>503.450004694</v>
      </c>
      <c r="F33" s="5" t="n">
        <f aca="false">SUMIFS(Data!$J$2:$J$937,Data!$F$2:$F$937,$A33)</f>
        <v>34</v>
      </c>
      <c r="G33" s="5" t="n">
        <f aca="false">SUMIFS(Data!$K$2:$K$937,Data!$F$2:$F$937,$A33)</f>
        <v>15</v>
      </c>
      <c r="H33" s="8" t="n">
        <f aca="false">IFERROR(D33/C33,0)</f>
        <v>0.000181725327134805</v>
      </c>
      <c r="I33" s="9" t="n">
        <f aca="false">IFERROR(E33/C33*1000,0)</f>
        <v>0.294178832151242</v>
      </c>
      <c r="J33" s="10" t="n">
        <f aca="false">IFERROR(E33/D33,0)</f>
        <v>1.61881030448232</v>
      </c>
      <c r="K33" s="11" t="n">
        <f aca="false">IFERROR(F33/D33,0)</f>
        <v>0.109324758842444</v>
      </c>
      <c r="L33" s="11" t="n">
        <f aca="false">IFERROR(G33/D33,0)</f>
        <v>0.0482315112540193</v>
      </c>
      <c r="M33" s="11" t="n">
        <f aca="false">IFERROR(G33/F33,0)</f>
        <v>0.441176470588235</v>
      </c>
      <c r="N33" s="10" t="n">
        <f aca="false">IFERROR(E33/F33,0)</f>
        <v>14.8073530792353</v>
      </c>
      <c r="O33" s="10" t="n">
        <f aca="false">IFERROR(E33/G33,0)</f>
        <v>33.5633336462667</v>
      </c>
      <c r="P33" s="11" t="n">
        <f aca="false">IFERROR(E33/E$45,0)</f>
        <v>0.00857589698656201</v>
      </c>
      <c r="Q33" s="11" t="n">
        <f aca="false">IFERROR(G33/G$45,0)</f>
        <v>0.0149551345962114</v>
      </c>
      <c r="R33" s="12" t="n">
        <f aca="false">IFERROR(Q33/P33,0)</f>
        <v>1.74385660411328</v>
      </c>
    </row>
    <row r="34" customFormat="false" ht="15" hidden="false" customHeight="false" outlineLevel="0" collapsed="false">
      <c r="A34" s="6" t="n">
        <v>112</v>
      </c>
      <c r="B34" s="5" t="n">
        <f aca="false">COUNTIFS(Data!$F$2:$F$937,$A34)</f>
        <v>7</v>
      </c>
      <c r="C34" s="5" t="n">
        <f aca="false">SUMIFS(Data!$G$2:$G$937,Data!$F$2:$F$937,$A34)</f>
        <v>2324572</v>
      </c>
      <c r="D34" s="5" t="n">
        <f aca="false">SUMIFS(Data!$H$2:$H$937,Data!$F$2:$F$937,$A34)</f>
        <v>339</v>
      </c>
      <c r="E34" s="7" t="n">
        <f aca="false">SUMIFS(Data!$I$2:$I$937,Data!$F$2:$F$937,$A34)</f>
        <v>483.799998925</v>
      </c>
      <c r="F34" s="5" t="n">
        <f aca="false">SUMIFS(Data!$J$2:$J$937,Data!$F$2:$F$937,$A34)</f>
        <v>53</v>
      </c>
      <c r="G34" s="5" t="n">
        <f aca="false">SUMIFS(Data!$K$2:$K$937,Data!$F$2:$F$937,$A34)</f>
        <v>15</v>
      </c>
      <c r="H34" s="8" t="n">
        <f aca="false">IFERROR(D34/C34,0)</f>
        <v>0.00014583329748444</v>
      </c>
      <c r="I34" s="9" t="n">
        <f aca="false">IFERROR(E34/C34*1000,0)</f>
        <v>0.208124333823603</v>
      </c>
      <c r="J34" s="10" t="n">
        <f aca="false">IFERROR(E34/D34,0)</f>
        <v>1.42713863989676</v>
      </c>
      <c r="K34" s="11" t="n">
        <f aca="false">IFERROR(F34/D34,0)</f>
        <v>0.156342182890855</v>
      </c>
      <c r="L34" s="11" t="n">
        <f aca="false">IFERROR(G34/D34,0)</f>
        <v>0.0442477876106195</v>
      </c>
      <c r="M34" s="11" t="n">
        <f aca="false">IFERROR(G34/F34,0)</f>
        <v>0.283018867924528</v>
      </c>
      <c r="N34" s="10" t="n">
        <f aca="false">IFERROR(E34/F34,0)</f>
        <v>9.12830186650943</v>
      </c>
      <c r="O34" s="10" t="n">
        <f aca="false">IFERROR(E34/G34,0)</f>
        <v>32.2533332616667</v>
      </c>
      <c r="P34" s="11" t="n">
        <f aca="false">IFERROR(E34/E$45,0)</f>
        <v>0.00824117372965645</v>
      </c>
      <c r="Q34" s="11" t="n">
        <f aca="false">IFERROR(G34/G$45,0)</f>
        <v>0.0149551345962114</v>
      </c>
      <c r="R34" s="12" t="n">
        <f aca="false">IFERROR(Q34/P34,0)</f>
        <v>1.8146850299241</v>
      </c>
    </row>
    <row r="35" customFormat="false" ht="15" hidden="false" customHeight="false" outlineLevel="0" collapsed="false">
      <c r="A35" s="6" t="n">
        <v>106</v>
      </c>
      <c r="B35" s="5" t="n">
        <f aca="false">COUNTIFS(Data!$F$2:$F$937,$A35)</f>
        <v>5</v>
      </c>
      <c r="C35" s="5" t="n">
        <f aca="false">SUMIFS(Data!$G$2:$G$937,Data!$F$2:$F$937,$A35)</f>
        <v>1592431</v>
      </c>
      <c r="D35" s="5" t="n">
        <f aca="false">SUMIFS(Data!$H$2:$H$937,Data!$F$2:$F$937,$A35)</f>
        <v>332</v>
      </c>
      <c r="E35" s="7" t="n">
        <f aca="false">SUMIFS(Data!$I$2:$I$937,Data!$F$2:$F$937,$A35)</f>
        <v>482.15000431</v>
      </c>
      <c r="F35" s="5" t="n">
        <f aca="false">SUMIFS(Data!$J$2:$J$937,Data!$F$2:$F$937,$A35)</f>
        <v>20</v>
      </c>
      <c r="G35" s="5" t="n">
        <f aca="false">SUMIFS(Data!$K$2:$K$937,Data!$F$2:$F$937,$A35)</f>
        <v>5</v>
      </c>
      <c r="H35" s="8" t="n">
        <f aca="false">IFERROR(D35/C35,0)</f>
        <v>0.000208486270362735</v>
      </c>
      <c r="I35" s="9" t="n">
        <f aca="false">IFERROR(E35/C35*1000,0)</f>
        <v>0.302776072752917</v>
      </c>
      <c r="J35" s="10" t="n">
        <f aca="false">IFERROR(E35/D35,0)</f>
        <v>1.45225904912651</v>
      </c>
      <c r="K35" s="11" t="n">
        <f aca="false">IFERROR(F35/D35,0)</f>
        <v>0.0602409638554217</v>
      </c>
      <c r="L35" s="11" t="n">
        <f aca="false">IFERROR(G35/D35,0)</f>
        <v>0.0150602409638554</v>
      </c>
      <c r="M35" s="11" t="n">
        <f aca="false">IFERROR(G35/F35,0)</f>
        <v>0.25</v>
      </c>
      <c r="N35" s="10" t="n">
        <f aca="false">IFERROR(E35/F35,0)</f>
        <v>24.1075002155</v>
      </c>
      <c r="O35" s="10" t="n">
        <f aca="false">IFERROR(E35/G35,0)</f>
        <v>96.430000862</v>
      </c>
      <c r="P35" s="11" t="n">
        <f aca="false">IFERROR(E35/E$45,0)</f>
        <v>0.00821306729661506</v>
      </c>
      <c r="Q35" s="11" t="n">
        <f aca="false">IFERROR(G35/G$45,0)</f>
        <v>0.00498504486540379</v>
      </c>
      <c r="R35" s="12" t="n">
        <f aca="false">IFERROR(Q35/P35,0)</f>
        <v>0.606965057678065</v>
      </c>
    </row>
    <row r="36" customFormat="false" ht="15" hidden="false" customHeight="false" outlineLevel="0" collapsed="false">
      <c r="A36" s="6" t="n">
        <v>103</v>
      </c>
      <c r="B36" s="5" t="n">
        <f aca="false">COUNTIFS(Data!$F$2:$F$937,$A36)</f>
        <v>5</v>
      </c>
      <c r="C36" s="5" t="n">
        <f aca="false">SUMIFS(Data!$G$2:$G$937,Data!$F$2:$F$937,$A36)</f>
        <v>1921053</v>
      </c>
      <c r="D36" s="5" t="n">
        <f aca="false">SUMIFS(Data!$H$2:$H$937,Data!$F$2:$F$937,$A36)</f>
        <v>333</v>
      </c>
      <c r="E36" s="7" t="n">
        <f aca="false">SUMIFS(Data!$I$2:$I$937,Data!$F$2:$F$937,$A36)</f>
        <v>479.13000465</v>
      </c>
      <c r="F36" s="5" t="n">
        <f aca="false">SUMIFS(Data!$J$2:$J$937,Data!$F$2:$F$937,$A36)</f>
        <v>21</v>
      </c>
      <c r="G36" s="5" t="n">
        <f aca="false">SUMIFS(Data!$K$2:$K$937,Data!$F$2:$F$937,$A36)</f>
        <v>5</v>
      </c>
      <c r="H36" s="8" t="n">
        <f aca="false">IFERROR(D36/C36,0)</f>
        <v>0.000173342432509671</v>
      </c>
      <c r="I36" s="9" t="n">
        <f aca="false">IFERROR(E36/C36*1000,0)</f>
        <v>0.249410091574777</v>
      </c>
      <c r="J36" s="10" t="n">
        <f aca="false">IFERROR(E36/D36,0)</f>
        <v>1.43882884279279</v>
      </c>
      <c r="K36" s="11" t="n">
        <f aca="false">IFERROR(F36/D36,0)</f>
        <v>0.0630630630630631</v>
      </c>
      <c r="L36" s="11" t="n">
        <f aca="false">IFERROR(G36/D36,0)</f>
        <v>0.015015015015015</v>
      </c>
      <c r="M36" s="11" t="n">
        <f aca="false">IFERROR(G36/F36,0)</f>
        <v>0.238095238095238</v>
      </c>
      <c r="N36" s="10" t="n">
        <f aca="false">IFERROR(E36/F36,0)</f>
        <v>22.8157145071429</v>
      </c>
      <c r="O36" s="10" t="n">
        <f aca="false">IFERROR(E36/G36,0)</f>
        <v>95.82600093</v>
      </c>
      <c r="P36" s="11" t="n">
        <f aca="false">IFERROR(E36/E$45,0)</f>
        <v>0.00816162384494729</v>
      </c>
      <c r="Q36" s="11" t="n">
        <f aca="false">IFERROR(G36/G$45,0)</f>
        <v>0.00498504486540379</v>
      </c>
      <c r="R36" s="12" t="n">
        <f aca="false">IFERROR(Q36/P36,0)</f>
        <v>0.610790813214203</v>
      </c>
    </row>
    <row r="37" customFormat="false" ht="15" hidden="false" customHeight="false" outlineLevel="0" collapsed="false">
      <c r="A37" s="6" t="n">
        <v>104</v>
      </c>
      <c r="B37" s="5" t="n">
        <f aca="false">COUNTIFS(Data!$F$2:$F$937,$A37)</f>
        <v>5</v>
      </c>
      <c r="C37" s="5" t="n">
        <f aca="false">SUMIFS(Data!$G$2:$G$937,Data!$F$2:$F$937,$A37)</f>
        <v>1412110</v>
      </c>
      <c r="D37" s="5" t="n">
        <f aca="false">SUMIFS(Data!$H$2:$H$937,Data!$F$2:$F$937,$A37)</f>
        <v>265</v>
      </c>
      <c r="E37" s="7" t="n">
        <f aca="false">SUMIFS(Data!$I$2:$I$937,Data!$F$2:$F$937,$A37)</f>
        <v>387.91999924</v>
      </c>
      <c r="F37" s="5" t="n">
        <f aca="false">SUMIFS(Data!$J$2:$J$937,Data!$F$2:$F$937,$A37)</f>
        <v>43</v>
      </c>
      <c r="G37" s="5" t="n">
        <f aca="false">SUMIFS(Data!$K$2:$K$937,Data!$F$2:$F$937,$A37)</f>
        <v>8</v>
      </c>
      <c r="H37" s="8" t="n">
        <f aca="false">IFERROR(D37/C37,0)</f>
        <v>0.000187662434229628</v>
      </c>
      <c r="I37" s="9" t="n">
        <f aca="false">IFERROR(E37/C37*1000,0)</f>
        <v>0.274709476768807</v>
      </c>
      <c r="J37" s="10" t="n">
        <f aca="false">IFERROR(E37/D37,0)</f>
        <v>1.46384905373585</v>
      </c>
      <c r="K37" s="11" t="n">
        <f aca="false">IFERROR(F37/D37,0)</f>
        <v>0.162264150943396</v>
      </c>
      <c r="L37" s="11" t="n">
        <f aca="false">IFERROR(G37/D37,0)</f>
        <v>0.030188679245283</v>
      </c>
      <c r="M37" s="11" t="n">
        <f aca="false">IFERROR(G37/F37,0)</f>
        <v>0.186046511627907</v>
      </c>
      <c r="N37" s="10" t="n">
        <f aca="false">IFERROR(E37/F37,0)</f>
        <v>9.02139533116279</v>
      </c>
      <c r="O37" s="10" t="n">
        <f aca="false">IFERROR(E37/G37,0)</f>
        <v>48.489999905</v>
      </c>
      <c r="P37" s="11" t="n">
        <f aca="false">IFERROR(E37/E$45,0)</f>
        <v>0.00660792913197305</v>
      </c>
      <c r="Q37" s="11" t="n">
        <f aca="false">IFERROR(G37/G$45,0)</f>
        <v>0.00797607178464606</v>
      </c>
      <c r="R37" s="12" t="n">
        <f aca="false">IFERROR(Q37/P37,0)</f>
        <v>1.20704560011897</v>
      </c>
    </row>
    <row r="38" customFormat="false" ht="15" hidden="false" customHeight="false" outlineLevel="0" collapsed="false">
      <c r="A38" s="6" t="n">
        <v>111</v>
      </c>
      <c r="B38" s="5" t="n">
        <f aca="false">COUNTIFS(Data!$F$2:$F$937,$A38)</f>
        <v>6</v>
      </c>
      <c r="C38" s="5" t="n">
        <f aca="false">SUMIFS(Data!$G$2:$G$937,Data!$F$2:$F$937,$A38)</f>
        <v>1490896</v>
      </c>
      <c r="D38" s="5" t="n">
        <f aca="false">SUMIFS(Data!$H$2:$H$937,Data!$F$2:$F$937,$A38)</f>
        <v>260</v>
      </c>
      <c r="E38" s="7" t="n">
        <f aca="false">SUMIFS(Data!$I$2:$I$937,Data!$F$2:$F$937,$A38)</f>
        <v>370.64999778</v>
      </c>
      <c r="F38" s="5" t="n">
        <f aca="false">SUMIFS(Data!$J$2:$J$937,Data!$F$2:$F$937,$A38)</f>
        <v>30</v>
      </c>
      <c r="G38" s="5" t="n">
        <f aca="false">SUMIFS(Data!$K$2:$K$937,Data!$F$2:$F$937,$A38)</f>
        <v>10</v>
      </c>
      <c r="H38" s="8" t="n">
        <f aca="false">IFERROR(D38/C38,0)</f>
        <v>0.000174391775147294</v>
      </c>
      <c r="I38" s="9" t="n">
        <f aca="false">IFERROR(E38/C38*1000,0)</f>
        <v>0.248608888735365</v>
      </c>
      <c r="J38" s="10" t="n">
        <f aca="false">IFERROR(E38/D38,0)</f>
        <v>1.42557691453846</v>
      </c>
      <c r="K38" s="11" t="n">
        <f aca="false">IFERROR(F38/D38,0)</f>
        <v>0.115384615384615</v>
      </c>
      <c r="L38" s="11" t="n">
        <f aca="false">IFERROR(G38/D38,0)</f>
        <v>0.0384615384615385</v>
      </c>
      <c r="M38" s="11" t="n">
        <f aca="false">IFERROR(G38/F38,0)</f>
        <v>0.333333333333333</v>
      </c>
      <c r="N38" s="10" t="n">
        <f aca="false">IFERROR(E38/F38,0)</f>
        <v>12.354999926</v>
      </c>
      <c r="O38" s="10" t="n">
        <f aca="false">IFERROR(E38/G38,0)</f>
        <v>37.064999778</v>
      </c>
      <c r="P38" s="11" t="n">
        <f aca="false">IFERROR(E38/E$45,0)</f>
        <v>0.00631374748116791</v>
      </c>
      <c r="Q38" s="11" t="n">
        <f aca="false">IFERROR(G38/G$45,0)</f>
        <v>0.00997008973080758</v>
      </c>
      <c r="R38" s="12" t="n">
        <f aca="false">IFERROR(Q38/P38,0)</f>
        <v>1.57910809080431</v>
      </c>
    </row>
    <row r="39" customFormat="false" ht="15" hidden="false" customHeight="false" outlineLevel="0" collapsed="false">
      <c r="A39" s="6" t="n">
        <v>113</v>
      </c>
      <c r="B39" s="5" t="n">
        <f aca="false">COUNTIFS(Data!$F$2:$F$937,$A39)</f>
        <v>6</v>
      </c>
      <c r="C39" s="5" t="n">
        <f aca="false">SUMIFS(Data!$G$2:$G$937,Data!$F$2:$F$937,$A39)</f>
        <v>1830565</v>
      </c>
      <c r="D39" s="5" t="n">
        <f aca="false">SUMIFS(Data!$H$2:$H$937,Data!$F$2:$F$937,$A39)</f>
        <v>233</v>
      </c>
      <c r="E39" s="7" t="n">
        <f aca="false">SUMIFS(Data!$I$2:$I$937,Data!$F$2:$F$937,$A39)</f>
        <v>342.830000261</v>
      </c>
      <c r="F39" s="5" t="n">
        <f aca="false">SUMIFS(Data!$J$2:$J$937,Data!$F$2:$F$937,$A39)</f>
        <v>25</v>
      </c>
      <c r="G39" s="5" t="n">
        <f aca="false">SUMIFS(Data!$K$2:$K$937,Data!$F$2:$F$937,$A39)</f>
        <v>7</v>
      </c>
      <c r="H39" s="8" t="n">
        <f aca="false">IFERROR(D39/C39,0)</f>
        <v>0.000127283106581848</v>
      </c>
      <c r="I39" s="9" t="n">
        <f aca="false">IFERROR(E39/C39*1000,0)</f>
        <v>0.18728097623466</v>
      </c>
      <c r="J39" s="10" t="n">
        <f aca="false">IFERROR(E39/D39,0)</f>
        <v>1.47137339167811</v>
      </c>
      <c r="K39" s="11" t="n">
        <f aca="false">IFERROR(F39/D39,0)</f>
        <v>0.107296137339056</v>
      </c>
      <c r="L39" s="11" t="n">
        <f aca="false">IFERROR(G39/D39,0)</f>
        <v>0.0300429184549356</v>
      </c>
      <c r="M39" s="11" t="n">
        <f aca="false">IFERROR(G39/F39,0)</f>
        <v>0.28</v>
      </c>
      <c r="N39" s="10" t="n">
        <f aca="false">IFERROR(E39/F39,0)</f>
        <v>13.71320001044</v>
      </c>
      <c r="O39" s="10" t="n">
        <f aca="false">IFERROR(E39/G39,0)</f>
        <v>48.975714323</v>
      </c>
      <c r="P39" s="11" t="n">
        <f aca="false">IFERROR(E39/E$45,0)</f>
        <v>0.00583985448153558</v>
      </c>
      <c r="Q39" s="11" t="n">
        <f aca="false">IFERROR(G39/G$45,0)</f>
        <v>0.0069790628115653</v>
      </c>
      <c r="R39" s="12" t="n">
        <f aca="false">IFERROR(Q39/P39,0)</f>
        <v>1.19507478031031</v>
      </c>
    </row>
    <row r="40" customFormat="false" ht="15" hidden="false" customHeight="false" outlineLevel="0" collapsed="false">
      <c r="A40" s="6" t="n">
        <v>31</v>
      </c>
      <c r="B40" s="5" t="n">
        <f aca="false">COUNTIFS(Data!$F$2:$F$937,$A40)</f>
        <v>17</v>
      </c>
      <c r="C40" s="5" t="n">
        <f aca="false">SUMIFS(Data!$G$2:$G$937,Data!$F$2:$F$937,$A40)</f>
        <v>1046689</v>
      </c>
      <c r="D40" s="5" t="n">
        <f aca="false">SUMIFS(Data!$H$2:$H$937,Data!$F$2:$F$937,$A40)</f>
        <v>195</v>
      </c>
      <c r="E40" s="7" t="n">
        <f aca="false">SUMIFS(Data!$I$2:$I$937,Data!$F$2:$F$937,$A40)</f>
        <v>299.099999057</v>
      </c>
      <c r="F40" s="5" t="n">
        <f aca="false">SUMIFS(Data!$J$2:$J$937,Data!$F$2:$F$937,$A40)</f>
        <v>24</v>
      </c>
      <c r="G40" s="5" t="n">
        <f aca="false">SUMIFS(Data!$K$2:$K$937,Data!$F$2:$F$937,$A40)</f>
        <v>13</v>
      </c>
      <c r="H40" s="8" t="n">
        <f aca="false">IFERROR(D40/C40,0)</f>
        <v>0.000186301757255498</v>
      </c>
      <c r="I40" s="9" t="n">
        <f aca="false">IFERROR(E40/C40*1000,0)</f>
        <v>0.285758232920189</v>
      </c>
      <c r="J40" s="10" t="n">
        <f aca="false">IFERROR(E40/D40,0)</f>
        <v>1.53384614901026</v>
      </c>
      <c r="K40" s="11" t="n">
        <f aca="false">IFERROR(F40/D40,0)</f>
        <v>0.123076923076923</v>
      </c>
      <c r="L40" s="11" t="n">
        <f aca="false">IFERROR(G40/D40,0)</f>
        <v>0.0666666666666667</v>
      </c>
      <c r="M40" s="11" t="n">
        <f aca="false">IFERROR(G40/F40,0)</f>
        <v>0.541666666666667</v>
      </c>
      <c r="N40" s="10" t="n">
        <f aca="false">IFERROR(E40/F40,0)</f>
        <v>12.4624999607083</v>
      </c>
      <c r="O40" s="10" t="n">
        <f aca="false">IFERROR(E40/G40,0)</f>
        <v>23.0076922351538</v>
      </c>
      <c r="P40" s="11" t="n">
        <f aca="false">IFERROR(E40/E$45,0)</f>
        <v>0.00509494638331105</v>
      </c>
      <c r="Q40" s="11" t="n">
        <f aca="false">IFERROR(G40/G$45,0)</f>
        <v>0.0129611166500499</v>
      </c>
      <c r="R40" s="12" t="n">
        <f aca="false">IFERROR(Q40/P40,0)</f>
        <v>2.54391620145506</v>
      </c>
    </row>
    <row r="41" customFormat="false" ht="15" hidden="false" customHeight="false" outlineLevel="0" collapsed="false">
      <c r="A41" s="6" t="n">
        <v>114</v>
      </c>
      <c r="B41" s="5" t="n">
        <f aca="false">COUNTIFS(Data!$F$2:$F$937,$A41)</f>
        <v>5</v>
      </c>
      <c r="C41" s="5" t="n">
        <f aca="false">SUMIFS(Data!$G$2:$G$937,Data!$F$2:$F$937,$A41)</f>
        <v>1066164</v>
      </c>
      <c r="D41" s="5" t="n">
        <f aca="false">SUMIFS(Data!$H$2:$H$937,Data!$F$2:$F$937,$A41)</f>
        <v>191</v>
      </c>
      <c r="E41" s="7" t="n">
        <f aca="false">SUMIFS(Data!$I$2:$I$937,Data!$F$2:$F$937,$A41)</f>
        <v>282.619998098</v>
      </c>
      <c r="F41" s="5" t="n">
        <f aca="false">SUMIFS(Data!$J$2:$J$937,Data!$F$2:$F$937,$A41)</f>
        <v>12</v>
      </c>
      <c r="G41" s="5" t="n">
        <f aca="false">SUMIFS(Data!$K$2:$K$937,Data!$F$2:$F$937,$A41)</f>
        <v>4</v>
      </c>
      <c r="H41" s="8" t="n">
        <f aca="false">IFERROR(D41/C41,0)</f>
        <v>0.000179146922987458</v>
      </c>
      <c r="I41" s="9" t="n">
        <f aca="false">IFERROR(E41/C41*1000,0)</f>
        <v>0.265081167717162</v>
      </c>
      <c r="J41" s="10" t="n">
        <f aca="false">IFERROR(E41/D41,0)</f>
        <v>1.47968585391623</v>
      </c>
      <c r="K41" s="11" t="n">
        <f aca="false">IFERROR(F41/D41,0)</f>
        <v>0.0628272251308901</v>
      </c>
      <c r="L41" s="11" t="n">
        <f aca="false">IFERROR(G41/D41,0)</f>
        <v>0.0209424083769634</v>
      </c>
      <c r="M41" s="11" t="n">
        <f aca="false">IFERROR(G41/F41,0)</f>
        <v>0.333333333333333</v>
      </c>
      <c r="N41" s="10" t="n">
        <f aca="false">IFERROR(E41/F41,0)</f>
        <v>23.5516665081667</v>
      </c>
      <c r="O41" s="10" t="n">
        <f aca="false">IFERROR(E41/G41,0)</f>
        <v>70.6549995245</v>
      </c>
      <c r="P41" s="11" t="n">
        <f aca="false">IFERROR(E41/E$45,0)</f>
        <v>0.00481422180441522</v>
      </c>
      <c r="Q41" s="11" t="n">
        <f aca="false">IFERROR(G41/G$45,0)</f>
        <v>0.00398803589232303</v>
      </c>
      <c r="R41" s="12" t="n">
        <f aca="false">IFERROR(Q41/P41,0)</f>
        <v>0.828386404769619</v>
      </c>
    </row>
    <row r="42" customFormat="false" ht="15" hidden="false" customHeight="false" outlineLevel="0" collapsed="false">
      <c r="A42" s="6" t="n">
        <v>66</v>
      </c>
      <c r="B42" s="5" t="n">
        <f aca="false">COUNTIFS(Data!$F$2:$F$937,$A42)</f>
        <v>10</v>
      </c>
      <c r="C42" s="5" t="n">
        <f aca="false">SUMIFS(Data!$G$2:$G$937,Data!$F$2:$F$937,$A42)</f>
        <v>882416</v>
      </c>
      <c r="D42" s="5" t="n">
        <f aca="false">SUMIFS(Data!$H$2:$H$937,Data!$F$2:$F$937,$A42)</f>
        <v>138</v>
      </c>
      <c r="E42" s="7" t="n">
        <f aca="false">SUMIFS(Data!$I$2:$I$937,Data!$F$2:$F$937,$A42)</f>
        <v>230.760000349</v>
      </c>
      <c r="F42" s="5" t="n">
        <f aca="false">SUMIFS(Data!$J$2:$J$937,Data!$F$2:$F$937,$A42)</f>
        <v>13</v>
      </c>
      <c r="G42" s="5" t="n">
        <f aca="false">SUMIFS(Data!$K$2:$K$937,Data!$F$2:$F$937,$A42)</f>
        <v>4</v>
      </c>
      <c r="H42" s="8" t="n">
        <f aca="false">IFERROR(D42/C42,0)</f>
        <v>0.000156388823412087</v>
      </c>
      <c r="I42" s="9" t="n">
        <f aca="false">IFERROR(E42/C42*1000,0)</f>
        <v>0.26150931119676</v>
      </c>
      <c r="J42" s="10" t="n">
        <f aca="false">IFERROR(E42/D42,0)</f>
        <v>1.67217391557246</v>
      </c>
      <c r="K42" s="11" t="n">
        <f aca="false">IFERROR(F42/D42,0)</f>
        <v>0.0942028985507246</v>
      </c>
      <c r="L42" s="11" t="n">
        <f aca="false">IFERROR(G42/D42,0)</f>
        <v>0.0289855072463768</v>
      </c>
      <c r="M42" s="11" t="n">
        <f aca="false">IFERROR(G42/F42,0)</f>
        <v>0.307692307692308</v>
      </c>
      <c r="N42" s="10" t="n">
        <f aca="false">IFERROR(E42/F42,0)</f>
        <v>17.7507692576154</v>
      </c>
      <c r="O42" s="10" t="n">
        <f aca="false">IFERROR(E42/G42,0)</f>
        <v>57.69000008725</v>
      </c>
      <c r="P42" s="11" t="n">
        <f aca="false">IFERROR(E42/E$45,0)</f>
        <v>0.00393082525208212</v>
      </c>
      <c r="Q42" s="11" t="n">
        <f aca="false">IFERROR(G42/G$45,0)</f>
        <v>0.00398803589232303</v>
      </c>
      <c r="R42" s="12" t="n">
        <f aca="false">IFERROR(Q42/P42,0)</f>
        <v>1.01455435858173</v>
      </c>
    </row>
    <row r="43" customFormat="false" ht="15" hidden="false" customHeight="false" outlineLevel="0" collapsed="false">
      <c r="A43" s="6" t="n">
        <v>102</v>
      </c>
      <c r="B43" s="5" t="n">
        <f aca="false">COUNTIFS(Data!$F$2:$F$937,$A43)</f>
        <v>7</v>
      </c>
      <c r="C43" s="5" t="n">
        <f aca="false">SUMIFS(Data!$G$2:$G$937,Data!$F$2:$F$937,$A43)</f>
        <v>1160953</v>
      </c>
      <c r="D43" s="5" t="n">
        <f aca="false">SUMIFS(Data!$H$2:$H$937,Data!$F$2:$F$937,$A43)</f>
        <v>150</v>
      </c>
      <c r="E43" s="7" t="n">
        <f aca="false">SUMIFS(Data!$I$2:$I$937,Data!$F$2:$F$937,$A43)</f>
        <v>215.069999107</v>
      </c>
      <c r="F43" s="5" t="n">
        <f aca="false">SUMIFS(Data!$J$2:$J$937,Data!$F$2:$F$937,$A43)</f>
        <v>14</v>
      </c>
      <c r="G43" s="5" t="n">
        <f aca="false">SUMIFS(Data!$K$2:$K$937,Data!$F$2:$F$937,$A43)</f>
        <v>7</v>
      </c>
      <c r="H43" s="8" t="n">
        <f aca="false">IFERROR(D43/C43,0)</f>
        <v>0.00012920419689686</v>
      </c>
      <c r="I43" s="9" t="n">
        <f aca="false">IFERROR(E43/C43*1000,0)</f>
        <v>0.185252976741522</v>
      </c>
      <c r="J43" s="10" t="n">
        <f aca="false">IFERROR(E43/D43,0)</f>
        <v>1.43379999404667</v>
      </c>
      <c r="K43" s="11" t="n">
        <f aca="false">IFERROR(F43/D43,0)</f>
        <v>0.0933333333333333</v>
      </c>
      <c r="L43" s="11" t="n">
        <f aca="false">IFERROR(G43/D43,0)</f>
        <v>0.0466666666666667</v>
      </c>
      <c r="M43" s="11" t="n">
        <f aca="false">IFERROR(G43/F43,0)</f>
        <v>0.5</v>
      </c>
      <c r="N43" s="10" t="n">
        <f aca="false">IFERROR(E43/F43,0)</f>
        <v>15.3621427933571</v>
      </c>
      <c r="O43" s="10" t="n">
        <f aca="false">IFERROR(E43/G43,0)</f>
        <v>30.7242855867143</v>
      </c>
      <c r="P43" s="11" t="n">
        <f aca="false">IFERROR(E43/E$45,0)</f>
        <v>0.00366355773174074</v>
      </c>
      <c r="Q43" s="11" t="n">
        <f aca="false">IFERROR(G43/G$45,0)</f>
        <v>0.0069790628115653</v>
      </c>
      <c r="R43" s="12" t="n">
        <f aca="false">IFERROR(Q43/P43,0)</f>
        <v>1.90499599640517</v>
      </c>
    </row>
    <row r="44" customFormat="false" ht="15" hidden="false" customHeight="false" outlineLevel="0" collapsed="false">
      <c r="A44" s="6" t="n">
        <v>36</v>
      </c>
      <c r="B44" s="5" t="n">
        <f aca="false">COUNTIFS(Data!$F$2:$F$937,$A44)</f>
        <v>15</v>
      </c>
      <c r="C44" s="5" t="n">
        <f aca="false">SUMIFS(Data!$G$2:$G$937,Data!$F$2:$F$937,$A44)</f>
        <v>918299</v>
      </c>
      <c r="D44" s="5" t="n">
        <f aca="false">SUMIFS(Data!$H$2:$H$937,Data!$F$2:$F$937,$A44)</f>
        <v>128</v>
      </c>
      <c r="E44" s="7" t="n">
        <f aca="false">SUMIFS(Data!$I$2:$I$937,Data!$F$2:$F$937,$A44)</f>
        <v>205.739999545</v>
      </c>
      <c r="F44" s="5" t="n">
        <f aca="false">SUMIFS(Data!$J$2:$J$937,Data!$F$2:$F$937,$A44)</f>
        <v>23</v>
      </c>
      <c r="G44" s="5" t="n">
        <f aca="false">SUMIFS(Data!$K$2:$K$937,Data!$F$2:$F$937,$A44)</f>
        <v>8</v>
      </c>
      <c r="H44" s="8" t="n">
        <f aca="false">IFERROR(D44/C44,0)</f>
        <v>0.000139388151353753</v>
      </c>
      <c r="I44" s="9" t="n">
        <f aca="false">IFERROR(E44/C44*1000,0)</f>
        <v>0.224044673407028</v>
      </c>
      <c r="J44" s="10" t="n">
        <f aca="false">IFERROR(E44/D44,0)</f>
        <v>1.60734374644531</v>
      </c>
      <c r="K44" s="11" t="n">
        <f aca="false">IFERROR(F44/D44,0)</f>
        <v>0.1796875</v>
      </c>
      <c r="L44" s="11" t="n">
        <f aca="false">IFERROR(G44/D44,0)</f>
        <v>0.0625</v>
      </c>
      <c r="M44" s="11" t="n">
        <f aca="false">IFERROR(G44/F44,0)</f>
        <v>0.347826086956522</v>
      </c>
      <c r="N44" s="10" t="n">
        <f aca="false">IFERROR(E44/F44,0)</f>
        <v>8.94521737152174</v>
      </c>
      <c r="O44" s="10" t="n">
        <f aca="false">IFERROR(E44/G44,0)</f>
        <v>25.717499943125</v>
      </c>
      <c r="P44" s="11" t="n">
        <f aca="false">IFERROR(E44/E$45,0)</f>
        <v>0.00350462811731554</v>
      </c>
      <c r="Q44" s="11" t="n">
        <f aca="false">IFERROR(G44/G$45,0)</f>
        <v>0.00797607178464606</v>
      </c>
      <c r="R44" s="12" t="n">
        <f aca="false">IFERROR(Q44/P44,0)</f>
        <v>2.27586822842577</v>
      </c>
    </row>
    <row r="45" customFormat="false" ht="15" hidden="false" customHeight="false" outlineLevel="0" collapsed="false">
      <c r="A45" s="13" t="s">
        <v>53</v>
      </c>
      <c r="B45" s="14" t="n">
        <f aca="false">SUM(B5:B44)</f>
        <v>936</v>
      </c>
      <c r="C45" s="14" t="n">
        <f aca="false">SUM(C5:C44)</f>
        <v>212945947</v>
      </c>
      <c r="D45" s="14" t="n">
        <f aca="false">SUM(D5:D44)</f>
        <v>38165</v>
      </c>
      <c r="E45" s="15" t="n">
        <f aca="false">SUM(E5:E44)</f>
        <v>58705.229958205</v>
      </c>
      <c r="F45" s="14" t="n">
        <f aca="false">SUM(F5:F44)</f>
        <v>3052</v>
      </c>
      <c r="G45" s="14" t="n">
        <f aca="false">SUM(G5:G44)</f>
        <v>1003</v>
      </c>
      <c r="H45" s="16" t="n">
        <f aca="false">IFERROR(D45/C45,0)</f>
        <v>0.00017922388539285</v>
      </c>
      <c r="I45" s="17" t="n">
        <f aca="false">IFERROR(E45/C45*1000,0)</f>
        <v>0.275681367902273</v>
      </c>
      <c r="J45" s="18" t="n">
        <f aca="false">IFERROR(E45/D45,0)</f>
        <v>1.53819546595585</v>
      </c>
      <c r="K45" s="19" t="n">
        <f aca="false">IFERROR(F45/D45,0)</f>
        <v>0.0799685575789336</v>
      </c>
      <c r="L45" s="19" t="n">
        <f aca="false">IFERROR(G45/D45,0)</f>
        <v>0.0262806236080178</v>
      </c>
      <c r="M45" s="19" t="n">
        <f aca="false">IFERROR(G45/F45,0)</f>
        <v>0.328636959370904</v>
      </c>
      <c r="N45" s="18" t="n">
        <f aca="false">IFERROR(E45/F45,0)</f>
        <v>19.2350032628457</v>
      </c>
      <c r="O45" s="18" t="n">
        <f aca="false">IFERROR(E45/G45,0)</f>
        <v>58.5296410350997</v>
      </c>
      <c r="P45" s="19" t="n">
        <f aca="false">IFERROR(E45/E$45,0)</f>
        <v>1</v>
      </c>
      <c r="Q45" s="19" t="n">
        <f aca="false">IFERROR(G45/G$45,0)</f>
        <v>1</v>
      </c>
      <c r="R45" s="20" t="n">
        <f aca="false">IFERROR(Q45/P45,0)</f>
        <v>1</v>
      </c>
    </row>
    <row r="47" customFormat="false" ht="15" hidden="false" customHeight="false" outlineLevel="0" collapsed="false">
      <c r="A47" s="2" t="s">
        <v>54</v>
      </c>
    </row>
  </sheetData>
  <conditionalFormatting sqref="O5:O4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5:R44">
    <cfRule type="colorScale" priority="3">
      <colorScale>
        <cfvo type="min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31.5" hidden="false" customHeight="true" outlineLevel="0" collapsed="false">
      <c r="A4" s="3" t="s">
        <v>2</v>
      </c>
      <c r="B4" s="3" t="s">
        <v>72</v>
      </c>
      <c r="C4" s="3" t="s">
        <v>73</v>
      </c>
      <c r="D4" s="3" t="s">
        <v>74</v>
      </c>
    </row>
    <row r="5" customFormat="false" ht="15" hidden="false" customHeight="false" outlineLevel="0" collapsed="false">
      <c r="A5" s="6" t="s">
        <v>5</v>
      </c>
      <c r="B5" s="21" t="n">
        <v>1143</v>
      </c>
      <c r="C5" s="5" t="n">
        <f aca="false">Overview!B5</f>
        <v>936</v>
      </c>
      <c r="D5" s="5" t="n">
        <f aca="false">B5-C5</f>
        <v>207</v>
      </c>
    </row>
    <row r="6" customFormat="false" ht="15" hidden="false" customHeight="false" outlineLevel="0" collapsed="false">
      <c r="A6" s="6" t="s">
        <v>7</v>
      </c>
      <c r="B6" s="21" t="n">
        <v>691</v>
      </c>
      <c r="C6" s="5" t="n">
        <f aca="false">Overview!B6</f>
        <v>543</v>
      </c>
      <c r="D6" s="5" t="n">
        <f aca="false">B6-C6</f>
        <v>148</v>
      </c>
    </row>
    <row r="7" customFormat="false" ht="15" hidden="false" customHeight="false" outlineLevel="0" collapsed="false">
      <c r="A7" s="6" t="s">
        <v>9</v>
      </c>
      <c r="B7" s="21" t="n">
        <v>213434828</v>
      </c>
      <c r="C7" s="5" t="n">
        <f aca="false">Overview!B7</f>
        <v>212945947</v>
      </c>
      <c r="D7" s="5" t="n">
        <f aca="false">B7-C7</f>
        <v>488881</v>
      </c>
    </row>
    <row r="8" customFormat="false" ht="15" hidden="false" customHeight="false" outlineLevel="0" collapsed="false">
      <c r="A8" s="6" t="s">
        <v>11</v>
      </c>
      <c r="B8" s="21" t="n">
        <v>38165</v>
      </c>
      <c r="C8" s="5" t="n">
        <f aca="false">Overview!B8</f>
        <v>38165</v>
      </c>
      <c r="D8" s="5" t="n">
        <f aca="false">B8-C8</f>
        <v>0</v>
      </c>
    </row>
    <row r="9" customFormat="false" ht="15" hidden="false" customHeight="false" outlineLevel="0" collapsed="false">
      <c r="A9" s="6" t="s">
        <v>13</v>
      </c>
      <c r="B9" s="22" t="n">
        <v>58705.23</v>
      </c>
      <c r="C9" s="7" t="n">
        <f aca="false">Overview!B9</f>
        <v>58705.229958205</v>
      </c>
      <c r="D9" s="7" t="n">
        <f aca="false">B9-C9</f>
        <v>4.17949995608069E-005</v>
      </c>
    </row>
    <row r="10" customFormat="false" ht="15" hidden="false" customHeight="false" outlineLevel="0" collapsed="false">
      <c r="A10" s="6" t="s">
        <v>15</v>
      </c>
      <c r="B10" s="21" t="n">
        <v>3264</v>
      </c>
      <c r="C10" s="5" t="n">
        <f aca="false">Overview!B10</f>
        <v>3052</v>
      </c>
      <c r="D10" s="5" t="n">
        <f aca="false">B10-C10</f>
        <v>212</v>
      </c>
    </row>
    <row r="11" customFormat="false" ht="15" hidden="false" customHeight="false" outlineLevel="0" collapsed="false">
      <c r="A11" s="6" t="s">
        <v>17</v>
      </c>
      <c r="B11" s="21" t="n">
        <v>1079</v>
      </c>
      <c r="C11" s="5" t="n">
        <f aca="false">Overview!B11</f>
        <v>1003</v>
      </c>
      <c r="D11" s="5" t="n">
        <f aca="false">B11-C11</f>
        <v>76</v>
      </c>
    </row>
    <row r="13" customFormat="false" ht="15" hidden="false" customHeight="false" outlineLevel="0" collapsed="false">
      <c r="A13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76</v>
      </c>
    </row>
    <row r="3" customFormat="false" ht="31.5" hidden="false" customHeight="true" outlineLevel="0" collapsed="false">
      <c r="A3" s="3" t="s">
        <v>2</v>
      </c>
      <c r="B3" s="3" t="s">
        <v>77</v>
      </c>
      <c r="C3" s="3" t="s">
        <v>78</v>
      </c>
    </row>
    <row r="4" customFormat="false" ht="15" hidden="false" customHeight="false" outlineLevel="0" collapsed="false">
      <c r="A4" s="6" t="s">
        <v>79</v>
      </c>
      <c r="B4" s="6" t="s">
        <v>20</v>
      </c>
      <c r="C4" s="6" t="s">
        <v>80</v>
      </c>
    </row>
    <row r="5" customFormat="false" ht="15" hidden="false" customHeight="false" outlineLevel="0" collapsed="false">
      <c r="A5" s="6" t="s">
        <v>81</v>
      </c>
      <c r="B5" s="6" t="s">
        <v>82</v>
      </c>
      <c r="C5" s="6" t="s">
        <v>83</v>
      </c>
    </row>
    <row r="6" customFormat="false" ht="15" hidden="false" customHeight="false" outlineLevel="0" collapsed="false">
      <c r="A6" s="6" t="s">
        <v>84</v>
      </c>
      <c r="B6" s="6" t="s">
        <v>24</v>
      </c>
      <c r="C6" s="6" t="s">
        <v>85</v>
      </c>
    </row>
    <row r="7" customFormat="false" ht="15" hidden="false" customHeight="false" outlineLevel="0" collapsed="false">
      <c r="A7" s="6" t="s">
        <v>86</v>
      </c>
      <c r="B7" s="6" t="s">
        <v>87</v>
      </c>
      <c r="C7" s="6" t="s">
        <v>88</v>
      </c>
    </row>
    <row r="8" customFormat="false" ht="15" hidden="false" customHeight="false" outlineLevel="0" collapsed="false">
      <c r="A8" s="6" t="s">
        <v>89</v>
      </c>
      <c r="B8" s="6" t="s">
        <v>90</v>
      </c>
      <c r="C8" s="6" t="s">
        <v>91</v>
      </c>
    </row>
    <row r="9" customFormat="false" ht="15" hidden="false" customHeight="false" outlineLevel="0" collapsed="false">
      <c r="A9" s="6" t="s">
        <v>92</v>
      </c>
      <c r="B9" s="6" t="s">
        <v>93</v>
      </c>
      <c r="C9" s="6" t="s">
        <v>94</v>
      </c>
    </row>
    <row r="10" customFormat="false" ht="15" hidden="false" customHeight="false" outlineLevel="0" collapsed="false">
      <c r="A10" s="6" t="s">
        <v>95</v>
      </c>
      <c r="B10" s="6" t="s">
        <v>96</v>
      </c>
      <c r="C10" s="6" t="s">
        <v>97</v>
      </c>
    </row>
    <row r="11" customFormat="false" ht="15" hidden="false" customHeight="false" outlineLevel="0" collapsed="false">
      <c r="A11" s="6" t="s">
        <v>98</v>
      </c>
      <c r="B11" s="6" t="s">
        <v>99</v>
      </c>
      <c r="C11" s="6" t="s">
        <v>100</v>
      </c>
    </row>
    <row r="12" customFormat="false" ht="15" hidden="false" customHeight="false" outlineLevel="0" collapsed="false">
      <c r="A12" s="6" t="s">
        <v>101</v>
      </c>
      <c r="B12" s="6" t="s">
        <v>102</v>
      </c>
      <c r="C12" s="6" t="s">
        <v>103</v>
      </c>
    </row>
    <row r="13" customFormat="false" ht="15" hidden="false" customHeight="false" outlineLevel="0" collapsed="false">
      <c r="A13" s="6" t="s">
        <v>52</v>
      </c>
      <c r="B13" s="6" t="s">
        <v>104</v>
      </c>
      <c r="C13" s="6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9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42" hidden="false" customHeight="true" outlineLevel="0" collapsed="false">
      <c r="A4" s="3" t="s">
        <v>46</v>
      </c>
      <c r="B4" s="3" t="s">
        <v>62</v>
      </c>
      <c r="C4" s="3" t="s">
        <v>5</v>
      </c>
      <c r="D4" s="3" t="s">
        <v>11</v>
      </c>
      <c r="E4" s="3" t="s">
        <v>13</v>
      </c>
      <c r="F4" s="3" t="s">
        <v>47</v>
      </c>
      <c r="G4" s="3" t="s">
        <v>48</v>
      </c>
      <c r="H4" s="3" t="s">
        <v>108</v>
      </c>
      <c r="I4" s="3" t="s">
        <v>109</v>
      </c>
      <c r="J4" s="3" t="s">
        <v>110</v>
      </c>
      <c r="K4" s="3" t="s">
        <v>89</v>
      </c>
      <c r="L4" s="3" t="s">
        <v>92</v>
      </c>
      <c r="M4" s="3" t="s">
        <v>33</v>
      </c>
      <c r="N4" s="3" t="s">
        <v>52</v>
      </c>
      <c r="O4" s="3" t="s">
        <v>111</v>
      </c>
    </row>
    <row r="5" customFormat="false" ht="15" hidden="false" customHeight="false" outlineLevel="0" collapsed="false">
      <c r="A5" s="6" t="n">
        <v>916</v>
      </c>
      <c r="B5" s="6" t="s">
        <v>64</v>
      </c>
      <c r="C5" s="5" t="n">
        <f aca="false">COUNTIFS(Data!$B$2:$B$937,$A5,Data!$E$2:$E$937,$B5)</f>
        <v>22</v>
      </c>
      <c r="D5" s="5" t="n">
        <f aca="false">SUMIFS(Data!$H$2:$H$937,Data!$B$2:$B$937,$A5,Data!$E$2:$E$937,$B5)</f>
        <v>61</v>
      </c>
      <c r="E5" s="7" t="n">
        <f aca="false">SUMIFS(Data!$I$2:$I$937,Data!$B$2:$B$937,$A5,Data!$E$2:$E$937,$B5)</f>
        <v>79.86000052</v>
      </c>
      <c r="F5" s="5" t="n">
        <f aca="false">SUMIFS(Data!$J$2:$J$937,Data!$B$2:$B$937,$A5,Data!$E$2:$E$937,$B5)</f>
        <v>25</v>
      </c>
      <c r="G5" s="5" t="n">
        <f aca="false">SUMIFS(Data!$K$2:$K$937,Data!$B$2:$B$937,$A5,Data!$E$2:$E$937,$B5)</f>
        <v>10</v>
      </c>
      <c r="H5" s="11" t="n">
        <f aca="false">C5/COUNTIFS(Data!$B$2:$B$937,$A5)</f>
        <v>0.628571428571429</v>
      </c>
      <c r="I5" s="11" t="n">
        <f aca="false">E5/SUMIFS(Data!$I$2:$I$937,Data!$B$2:$B$937,$A5)</f>
        <v>0.533431301646755</v>
      </c>
      <c r="J5" s="11" t="n">
        <f aca="false">G5/SUMIFS(Data!$K$2:$K$937,Data!$B$2:$B$937,$A5)</f>
        <v>0.625</v>
      </c>
      <c r="K5" s="11" t="n">
        <f aca="false">IFERROR(G5/D5,0)</f>
        <v>0.163934426229508</v>
      </c>
      <c r="L5" s="11" t="n">
        <f aca="false">IFERROR(G5/F5,0)</f>
        <v>0.4</v>
      </c>
      <c r="M5" s="10" t="n">
        <f aca="false">IFERROR(E5/G5,0)</f>
        <v>7.986000052</v>
      </c>
      <c r="N5" s="12" t="n">
        <f aca="false">IFERROR(J5/I5,0)</f>
        <v>1.171659777127</v>
      </c>
      <c r="O5" s="10" t="n">
        <f aca="false">IFERROR(E5/C5,0)</f>
        <v>3.63000002363636</v>
      </c>
    </row>
    <row r="6" customFormat="false" ht="15" hidden="false" customHeight="false" outlineLevel="0" collapsed="false">
      <c r="A6" s="6" t="n">
        <v>916</v>
      </c>
      <c r="B6" s="6" t="s">
        <v>63</v>
      </c>
      <c r="C6" s="5" t="n">
        <f aca="false">COUNTIFS(Data!$B$2:$B$937,$A6,Data!$E$2:$E$937,$B6)</f>
        <v>13</v>
      </c>
      <c r="D6" s="5" t="n">
        <f aca="false">SUMIFS(Data!$H$2:$H$937,Data!$B$2:$B$937,$A6,Data!$E$2:$E$937,$B6)</f>
        <v>52</v>
      </c>
      <c r="E6" s="7" t="n">
        <f aca="false">SUMIFS(Data!$I$2:$I$937,Data!$B$2:$B$937,$A6,Data!$E$2:$E$937,$B6)</f>
        <v>69.850000137</v>
      </c>
      <c r="F6" s="5" t="n">
        <f aca="false">SUMIFS(Data!$J$2:$J$937,Data!$B$2:$B$937,$A6,Data!$E$2:$E$937,$B6)</f>
        <v>14</v>
      </c>
      <c r="G6" s="5" t="n">
        <f aca="false">SUMIFS(Data!$K$2:$K$937,Data!$B$2:$B$937,$A6,Data!$E$2:$E$937,$B6)</f>
        <v>6</v>
      </c>
      <c r="H6" s="11" t="n">
        <f aca="false">C6/COUNTIFS(Data!$B$2:$B$937,$A6)</f>
        <v>0.371428571428571</v>
      </c>
      <c r="I6" s="11" t="n">
        <f aca="false">E6/SUMIFS(Data!$I$2:$I$937,Data!$B$2:$B$937,$A6)</f>
        <v>0.466568698353245</v>
      </c>
      <c r="J6" s="11" t="n">
        <f aca="false">G6/SUMIFS(Data!$K$2:$K$937,Data!$B$2:$B$937,$A6)</f>
        <v>0.375</v>
      </c>
      <c r="K6" s="11" t="n">
        <f aca="false">IFERROR(G6/D6,0)</f>
        <v>0.115384615384615</v>
      </c>
      <c r="L6" s="11" t="n">
        <f aca="false">IFERROR(G6/F6,0)</f>
        <v>0.428571428571429</v>
      </c>
      <c r="M6" s="10" t="n">
        <f aca="false">IFERROR(E6/G6,0)</f>
        <v>11.6416666895</v>
      </c>
      <c r="N6" s="12" t="n">
        <f aca="false">IFERROR(J6/I6,0)</f>
        <v>0.803740159431104</v>
      </c>
      <c r="O6" s="10" t="n">
        <f aca="false">IFERROR(E6/C6,0)</f>
        <v>5.37307693361538</v>
      </c>
    </row>
    <row r="7" customFormat="false" ht="15" hidden="false" customHeight="false" outlineLevel="0" collapsed="false">
      <c r="A7" s="6" t="n">
        <v>936</v>
      </c>
      <c r="B7" s="6" t="s">
        <v>64</v>
      </c>
      <c r="C7" s="5" t="n">
        <f aca="false">COUNTIFS(Data!$B$2:$B$937,$A7,Data!$E$2:$E$937,$B7)</f>
        <v>110</v>
      </c>
      <c r="D7" s="5" t="n">
        <f aca="false">SUMIFS(Data!$H$2:$H$937,Data!$B$2:$B$937,$A7,Data!$E$2:$E$937,$B7)</f>
        <v>351</v>
      </c>
      <c r="E7" s="7" t="n">
        <f aca="false">SUMIFS(Data!$I$2:$I$937,Data!$B$2:$B$937,$A7,Data!$E$2:$E$937,$B7)</f>
        <v>513.010000349</v>
      </c>
      <c r="F7" s="5" t="n">
        <f aca="false">SUMIFS(Data!$J$2:$J$937,Data!$B$2:$B$937,$A7,Data!$E$2:$E$937,$B7)</f>
        <v>131</v>
      </c>
      <c r="G7" s="5" t="n">
        <f aca="false">SUMIFS(Data!$K$2:$K$937,Data!$B$2:$B$937,$A7,Data!$E$2:$E$937,$B7)</f>
        <v>48</v>
      </c>
      <c r="H7" s="11" t="n">
        <f aca="false">C7/COUNTIFS(Data!$B$2:$B$937,$A7)</f>
        <v>0.381944444444444</v>
      </c>
      <c r="I7" s="11" t="n">
        <f aca="false">E7/SUMIFS(Data!$I$2:$I$937,Data!$B$2:$B$937,$A7)</f>
        <v>0.177305356915295</v>
      </c>
      <c r="J7" s="11" t="n">
        <f aca="false">G7/SUMIFS(Data!$K$2:$K$937,Data!$B$2:$B$937,$A7)</f>
        <v>0.406779661016949</v>
      </c>
      <c r="K7" s="11" t="n">
        <f aca="false">IFERROR(G7/D7,0)</f>
        <v>0.136752136752137</v>
      </c>
      <c r="L7" s="11" t="n">
        <f aca="false">IFERROR(G7/F7,0)</f>
        <v>0.366412213740458</v>
      </c>
      <c r="M7" s="10" t="n">
        <f aca="false">IFERROR(E7/G7,0)</f>
        <v>10.6877083406042</v>
      </c>
      <c r="N7" s="12" t="n">
        <f aca="false">IFERROR(J7/I7,0)</f>
        <v>2.29423221099452</v>
      </c>
      <c r="O7" s="10" t="n">
        <f aca="false">IFERROR(E7/C7,0)</f>
        <v>4.6637272759</v>
      </c>
    </row>
    <row r="8" customFormat="false" ht="15" hidden="false" customHeight="false" outlineLevel="0" collapsed="false">
      <c r="A8" s="6" t="n">
        <v>936</v>
      </c>
      <c r="B8" s="6" t="s">
        <v>63</v>
      </c>
      <c r="C8" s="5" t="n">
        <f aca="false">COUNTIFS(Data!$B$2:$B$937,$A8,Data!$E$2:$E$937,$B8)</f>
        <v>178</v>
      </c>
      <c r="D8" s="5" t="n">
        <f aca="false">SUMIFS(Data!$H$2:$H$937,Data!$B$2:$B$937,$A8,Data!$E$2:$E$937,$B8)</f>
        <v>1633</v>
      </c>
      <c r="E8" s="7" t="n">
        <f aca="false">SUMIFS(Data!$I$2:$I$937,Data!$B$2:$B$937,$A8,Data!$E$2:$E$937,$B8)</f>
        <v>2380.359998585</v>
      </c>
      <c r="F8" s="5" t="n">
        <f aca="false">SUMIFS(Data!$J$2:$J$937,Data!$B$2:$B$937,$A8,Data!$E$2:$E$937,$B8)</f>
        <v>225</v>
      </c>
      <c r="G8" s="5" t="n">
        <f aca="false">SUMIFS(Data!$K$2:$K$937,Data!$B$2:$B$937,$A8,Data!$E$2:$E$937,$B8)</f>
        <v>70</v>
      </c>
      <c r="H8" s="11" t="n">
        <f aca="false">C8/COUNTIFS(Data!$B$2:$B$937,$A8)</f>
        <v>0.618055555555556</v>
      </c>
      <c r="I8" s="11" t="n">
        <f aca="false">E8/SUMIFS(Data!$I$2:$I$937,Data!$B$2:$B$937,$A8)</f>
        <v>0.822694643084705</v>
      </c>
      <c r="J8" s="11" t="n">
        <f aca="false">G8/SUMIFS(Data!$K$2:$K$937,Data!$B$2:$B$937,$A8)</f>
        <v>0.593220338983051</v>
      </c>
      <c r="K8" s="11" t="n">
        <f aca="false">IFERROR(G8/D8,0)</f>
        <v>0.0428658909981629</v>
      </c>
      <c r="L8" s="11" t="n">
        <f aca="false">IFERROR(G8/F8,0)</f>
        <v>0.311111111111111</v>
      </c>
      <c r="M8" s="10" t="n">
        <f aca="false">IFERROR(E8/G8,0)</f>
        <v>34.0051428369286</v>
      </c>
      <c r="N8" s="12" t="n">
        <f aca="false">IFERROR(J8/I8,0)</f>
        <v>0.721069893877956</v>
      </c>
      <c r="O8" s="10" t="n">
        <f aca="false">IFERROR(E8/C8,0)</f>
        <v>13.3728089808146</v>
      </c>
    </row>
    <row r="9" customFormat="false" ht="15" hidden="false" customHeight="false" outlineLevel="0" collapsed="false">
      <c r="A9" s="6" t="n">
        <v>1178</v>
      </c>
      <c r="B9" s="6" t="s">
        <v>64</v>
      </c>
      <c r="C9" s="5" t="n">
        <f aca="false">COUNTIFS(Data!$B$2:$B$937,$A9,Data!$E$2:$E$937,$B9)</f>
        <v>341</v>
      </c>
      <c r="D9" s="5" t="n">
        <f aca="false">SUMIFS(Data!$H$2:$H$937,Data!$B$2:$B$937,$A9,Data!$E$2:$E$937,$B9)</f>
        <v>13875</v>
      </c>
      <c r="E9" s="7" t="n">
        <f aca="false">SUMIFS(Data!$I$2:$I$937,Data!$B$2:$B$937,$A9,Data!$E$2:$E$937,$B9)</f>
        <v>23609.739993968</v>
      </c>
      <c r="F9" s="5" t="n">
        <f aca="false">SUMIFS(Data!$J$2:$J$937,Data!$B$2:$B$937,$A9,Data!$E$2:$E$937,$B9)</f>
        <v>1339</v>
      </c>
      <c r="G9" s="5" t="n">
        <f aca="false">SUMIFS(Data!$K$2:$K$937,Data!$B$2:$B$937,$A9,Data!$E$2:$E$937,$B9)</f>
        <v>478</v>
      </c>
      <c r="H9" s="11" t="n">
        <f aca="false">C9/COUNTIFS(Data!$B$2:$B$937,$A9)</f>
        <v>0.556280587275693</v>
      </c>
      <c r="I9" s="11" t="n">
        <f aca="false">E9/SUMIFS(Data!$I$2:$I$937,Data!$B$2:$B$937,$A9)</f>
        <v>0.424161481572709</v>
      </c>
      <c r="J9" s="11" t="n">
        <f aca="false">G9/SUMIFS(Data!$K$2:$K$937,Data!$B$2:$B$937,$A9)</f>
        <v>0.55005753739931</v>
      </c>
      <c r="K9" s="11" t="n">
        <f aca="false">IFERROR(G9/D9,0)</f>
        <v>0.0344504504504505</v>
      </c>
      <c r="L9" s="11" t="n">
        <f aca="false">IFERROR(G9/F9,0)</f>
        <v>0.356982823002241</v>
      </c>
      <c r="M9" s="10" t="n">
        <f aca="false">IFERROR(E9/G9,0)</f>
        <v>49.3927614936569</v>
      </c>
      <c r="N9" s="12" t="n">
        <f aca="false">IFERROR(J9/I9,0)</f>
        <v>1.29681161844259</v>
      </c>
      <c r="O9" s="10" t="n">
        <f aca="false">IFERROR(E9/C9,0)</f>
        <v>69.2367741758592</v>
      </c>
    </row>
    <row r="10" customFormat="false" ht="15" hidden="false" customHeight="false" outlineLevel="0" collapsed="false">
      <c r="A10" s="6" t="n">
        <v>1178</v>
      </c>
      <c r="B10" s="6" t="s">
        <v>63</v>
      </c>
      <c r="C10" s="5" t="n">
        <f aca="false">COUNTIFS(Data!$B$2:$B$937,$A10,Data!$E$2:$E$937,$B10)</f>
        <v>272</v>
      </c>
      <c r="D10" s="5" t="n">
        <f aca="false">SUMIFS(Data!$H$2:$H$937,Data!$B$2:$B$937,$A10,Data!$E$2:$E$937,$B10)</f>
        <v>22193</v>
      </c>
      <c r="E10" s="7" t="n">
        <f aca="false">SUMIFS(Data!$I$2:$I$937,Data!$B$2:$B$937,$A10,Data!$E$2:$E$937,$B10)</f>
        <v>32052.409964646</v>
      </c>
      <c r="F10" s="5" t="n">
        <f aca="false">SUMIFS(Data!$J$2:$J$937,Data!$B$2:$B$937,$A10,Data!$E$2:$E$937,$B10)</f>
        <v>1318</v>
      </c>
      <c r="G10" s="5" t="n">
        <f aca="false">SUMIFS(Data!$K$2:$K$937,Data!$B$2:$B$937,$A10,Data!$E$2:$E$937,$B10)</f>
        <v>391</v>
      </c>
      <c r="H10" s="11" t="n">
        <f aca="false">C10/COUNTIFS(Data!$B$2:$B$937,$A10)</f>
        <v>0.443719412724307</v>
      </c>
      <c r="I10" s="11" t="n">
        <f aca="false">E10/SUMIFS(Data!$I$2:$I$937,Data!$B$2:$B$937,$A10)</f>
        <v>0.575838518427291</v>
      </c>
      <c r="J10" s="11" t="n">
        <f aca="false">G10/SUMIFS(Data!$K$2:$K$937,Data!$B$2:$B$937,$A10)</f>
        <v>0.44994246260069</v>
      </c>
      <c r="K10" s="11" t="n">
        <f aca="false">IFERROR(G10/D10,0)</f>
        <v>0.0176181678907764</v>
      </c>
      <c r="L10" s="11" t="n">
        <f aca="false">IFERROR(G10/F10,0)</f>
        <v>0.296661608497724</v>
      </c>
      <c r="M10" s="10" t="n">
        <f aca="false">IFERROR(E10/G10,0)</f>
        <v>81.9754730553606</v>
      </c>
      <c r="N10" s="12" t="n">
        <f aca="false">IFERROR(J10/I10,0)</f>
        <v>0.781369165490278</v>
      </c>
      <c r="O10" s="10" t="n">
        <f aca="false">IFERROR(E10/C10,0)</f>
        <v>117.839742517081</v>
      </c>
    </row>
    <row r="12" customFormat="false" ht="31.5" hidden="false" customHeight="true" outlineLevel="0" collapsed="false">
      <c r="A12" s="3" t="s">
        <v>46</v>
      </c>
      <c r="B12" s="3" t="s">
        <v>112</v>
      </c>
      <c r="C12" s="3" t="s">
        <v>113</v>
      </c>
      <c r="D12" s="3" t="s">
        <v>114</v>
      </c>
      <c r="E12" s="3" t="s">
        <v>115</v>
      </c>
    </row>
    <row r="13" customFormat="false" ht="15" hidden="false" customHeight="false" outlineLevel="0" collapsed="false">
      <c r="A13" s="6" t="n">
        <v>916</v>
      </c>
      <c r="B13" s="23" t="n">
        <f aca="false">M5/M6</f>
        <v>0.685984255089766</v>
      </c>
      <c r="C13" s="23" t="n">
        <f aca="false">K5/K6</f>
        <v>1.4207650273224</v>
      </c>
      <c r="D13" s="23" t="n">
        <f aca="false">O5/O6</f>
        <v>0.675590554255073</v>
      </c>
      <c r="E13" s="24" t="n">
        <f aca="false">(L5-L6)*100</f>
        <v>-2.85714285714285</v>
      </c>
    </row>
    <row r="14" customFormat="false" ht="15" hidden="false" customHeight="false" outlineLevel="0" collapsed="false">
      <c r="A14" s="6" t="n">
        <v>936</v>
      </c>
      <c r="B14" s="23" t="n">
        <f aca="false">M7/M8</f>
        <v>0.314296822449975</v>
      </c>
      <c r="C14" s="23" t="n">
        <f aca="false">K7/K8</f>
        <v>3.19023199023199</v>
      </c>
      <c r="D14" s="23" t="n">
        <f aca="false">O7/O8</f>
        <v>0.348747019612024</v>
      </c>
      <c r="E14" s="24" t="n">
        <f aca="false">(L7-L8)*100</f>
        <v>5.53011026293469</v>
      </c>
    </row>
    <row r="15" customFormat="false" ht="15" hidden="false" customHeight="false" outlineLevel="0" collapsed="false">
      <c r="A15" s="6" t="n">
        <v>1178</v>
      </c>
      <c r="B15" s="23" t="n">
        <f aca="false">M9/M10</f>
        <v>0.602530972408057</v>
      </c>
      <c r="C15" s="23" t="n">
        <f aca="false">K9/K10</f>
        <v>1.95539347019654</v>
      </c>
      <c r="D15" s="23" t="n">
        <f aca="false">O9/O10</f>
        <v>0.587550283944514</v>
      </c>
      <c r="E15" s="24" t="n">
        <f aca="false">(L9-L10)*100</f>
        <v>6.03212145045167</v>
      </c>
    </row>
  </sheetData>
  <conditionalFormatting sqref="N5:N10">
    <cfRule type="colorScale" priority="2">
      <colorScale>
        <cfvo type="min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42" hidden="false" customHeight="true" outlineLevel="0" collapsed="false">
      <c r="A4" s="3" t="s">
        <v>46</v>
      </c>
      <c r="B4" s="3" t="s">
        <v>118</v>
      </c>
      <c r="C4" s="3" t="s">
        <v>5</v>
      </c>
      <c r="D4" s="3" t="s">
        <v>11</v>
      </c>
      <c r="E4" s="3" t="s">
        <v>13</v>
      </c>
      <c r="F4" s="3" t="s">
        <v>48</v>
      </c>
      <c r="G4" s="3" t="s">
        <v>108</v>
      </c>
      <c r="H4" s="3" t="s">
        <v>109</v>
      </c>
      <c r="I4" s="3" t="s">
        <v>110</v>
      </c>
      <c r="J4" s="3" t="s">
        <v>89</v>
      </c>
      <c r="K4" s="3" t="s">
        <v>33</v>
      </c>
    </row>
    <row r="5" customFormat="false" ht="15" hidden="false" customHeight="false" outlineLevel="0" collapsed="false">
      <c r="A5" s="6" t="n">
        <v>916</v>
      </c>
      <c r="B5" s="6" t="s">
        <v>119</v>
      </c>
      <c r="C5" s="5" t="n">
        <f aca="false">COUNTIFS(Data!$B$2:$B$937,$A5,Data!$D$2:$D$937,"30-34",Data!$E$2:$E$937,"M")</f>
        <v>10</v>
      </c>
      <c r="D5" s="5" t="n">
        <f aca="false">SUMIFS(Data!$H$2:$H$937,Data!$B$2:$B$937,$A5,Data!$D$2:$D$937,"30-34",Data!$E$2:$E$937,"M")</f>
        <v>21</v>
      </c>
      <c r="E5" s="7" t="n">
        <f aca="false">SUMIFS(Data!$I$2:$I$937,Data!$B$2:$B$937,$A5,Data!$D$2:$D$937,"30-34",Data!$E$2:$E$937,"M")</f>
        <v>27.340000065</v>
      </c>
      <c r="F5" s="5" t="n">
        <f aca="false">SUMIFS(Data!$K$2:$K$937,Data!$B$2:$B$937,$A5,Data!$D$2:$D$937,"30-34",Data!$E$2:$E$937,"M")</f>
        <v>4</v>
      </c>
      <c r="G5" s="11" t="n">
        <f aca="false">C5/(C5+C6)</f>
        <v>0.285714285714286</v>
      </c>
      <c r="H5" s="11" t="n">
        <f aca="false">E5/(E5+E6)</f>
        <v>0.182619731113612</v>
      </c>
      <c r="I5" s="11" t="n">
        <f aca="false">F5/(F5+F6)</f>
        <v>0.25</v>
      </c>
      <c r="J5" s="11" t="n">
        <f aca="false">IFERROR(F5/D5,0)</f>
        <v>0.19047619047619</v>
      </c>
      <c r="K5" s="10" t="n">
        <f aca="false">IFERROR(E5/F5,0)</f>
        <v>6.83500001625</v>
      </c>
    </row>
    <row r="6" customFormat="false" ht="15" hidden="false" customHeight="false" outlineLevel="0" collapsed="false">
      <c r="A6" s="6" t="n">
        <v>916</v>
      </c>
      <c r="B6" s="6" t="s">
        <v>120</v>
      </c>
      <c r="C6" s="5" t="n">
        <f aca="false">COUNTIFS(Data!$B$2:$B$937,$A6)-C5</f>
        <v>25</v>
      </c>
      <c r="D6" s="5" t="n">
        <f aca="false">SUMIFS(Data!$H$2:$H$937,Data!$B$2:$B$937,$A6)-D5</f>
        <v>92</v>
      </c>
      <c r="E6" s="7" t="n">
        <f aca="false">SUMIFS(Data!$I$2:$I$937,Data!$B$2:$B$937,$A6)-E5</f>
        <v>122.370000592</v>
      </c>
      <c r="F6" s="5" t="n">
        <f aca="false">SUMIFS(Data!$K$2:$K$937,Data!$B$2:$B$937,$A6)-F5</f>
        <v>12</v>
      </c>
      <c r="G6" s="11" t="n">
        <f aca="false">C6/(C5+C6)</f>
        <v>0.714285714285714</v>
      </c>
      <c r="H6" s="11" t="n">
        <f aca="false">E6/(E5+E6)</f>
        <v>0.817380268886388</v>
      </c>
      <c r="I6" s="11" t="n">
        <f aca="false">F6/(F5+F6)</f>
        <v>0.75</v>
      </c>
      <c r="J6" s="11" t="n">
        <f aca="false">IFERROR(F6/D6,0)</f>
        <v>0.130434782608696</v>
      </c>
      <c r="K6" s="10" t="n">
        <f aca="false">IFERROR(E6/F6,0)</f>
        <v>10.1975000493333</v>
      </c>
    </row>
    <row r="7" customFormat="false" ht="15" hidden="false" customHeight="false" outlineLevel="0" collapsed="false">
      <c r="A7" s="6" t="n">
        <v>936</v>
      </c>
      <c r="B7" s="6" t="s">
        <v>119</v>
      </c>
      <c r="C7" s="5" t="n">
        <f aca="false">COUNTIFS(Data!$B$2:$B$937,$A7,Data!$D$2:$D$937,"30-34",Data!$E$2:$E$937,"M")</f>
        <v>41</v>
      </c>
      <c r="D7" s="5" t="n">
        <f aca="false">SUMIFS(Data!$H$2:$H$937,Data!$B$2:$B$937,$A7,Data!$D$2:$D$937,"30-34",Data!$E$2:$E$937,"M")</f>
        <v>100</v>
      </c>
      <c r="E7" s="7" t="n">
        <f aca="false">SUMIFS(Data!$I$2:$I$937,Data!$B$2:$B$937,$A7,Data!$D$2:$D$937,"30-34",Data!$E$2:$E$937,"M")</f>
        <v>137.510000147</v>
      </c>
      <c r="F7" s="5" t="n">
        <f aca="false">SUMIFS(Data!$K$2:$K$937,Data!$B$2:$B$937,$A7,Data!$D$2:$D$937,"30-34",Data!$E$2:$E$937,"M")</f>
        <v>19</v>
      </c>
      <c r="G7" s="11" t="n">
        <f aca="false">C7/(C7+C8)</f>
        <v>0.142361111111111</v>
      </c>
      <c r="H7" s="11" t="n">
        <f aca="false">E7/(E7+E8)</f>
        <v>0.0475258954774753</v>
      </c>
      <c r="I7" s="11" t="n">
        <f aca="false">F7/(F7+F8)</f>
        <v>0.161016949152542</v>
      </c>
      <c r="J7" s="11" t="n">
        <f aca="false">IFERROR(F7/D7,0)</f>
        <v>0.19</v>
      </c>
      <c r="K7" s="10" t="n">
        <f aca="false">IFERROR(E7/F7,0)</f>
        <v>7.23736842878947</v>
      </c>
    </row>
    <row r="8" customFormat="false" ht="15" hidden="false" customHeight="false" outlineLevel="0" collapsed="false">
      <c r="A8" s="6" t="n">
        <v>936</v>
      </c>
      <c r="B8" s="6" t="s">
        <v>120</v>
      </c>
      <c r="C8" s="5" t="n">
        <f aca="false">COUNTIFS(Data!$B$2:$B$937,$A8)-C7</f>
        <v>247</v>
      </c>
      <c r="D8" s="5" t="n">
        <f aca="false">SUMIFS(Data!$H$2:$H$937,Data!$B$2:$B$937,$A8)-D7</f>
        <v>1884</v>
      </c>
      <c r="E8" s="7" t="n">
        <f aca="false">SUMIFS(Data!$I$2:$I$937,Data!$B$2:$B$937,$A8)-E7</f>
        <v>2755.859998787</v>
      </c>
      <c r="F8" s="5" t="n">
        <f aca="false">SUMIFS(Data!$K$2:$K$937,Data!$B$2:$B$937,$A8)-F7</f>
        <v>99</v>
      </c>
      <c r="G8" s="11" t="n">
        <f aca="false">C8/(C7+C8)</f>
        <v>0.857638888888889</v>
      </c>
      <c r="H8" s="11" t="n">
        <f aca="false">E8/(E7+E8)</f>
        <v>0.952474104522525</v>
      </c>
      <c r="I8" s="11" t="n">
        <f aca="false">F8/(F7+F8)</f>
        <v>0.838983050847458</v>
      </c>
      <c r="J8" s="11" t="n">
        <f aca="false">IFERROR(F8/D8,0)</f>
        <v>0.0525477707006369</v>
      </c>
      <c r="K8" s="10" t="n">
        <f aca="false">IFERROR(E8/F8,0)</f>
        <v>27.8369696847172</v>
      </c>
    </row>
    <row r="9" customFormat="false" ht="15" hidden="false" customHeight="false" outlineLevel="0" collapsed="false">
      <c r="A9" s="6" t="n">
        <v>1178</v>
      </c>
      <c r="B9" s="6" t="s">
        <v>119</v>
      </c>
      <c r="C9" s="5" t="n">
        <f aca="false">COUNTIFS(Data!$B$2:$B$937,$A9,Data!$D$2:$D$937,"30-34",Data!$E$2:$E$937,"M")</f>
        <v>107</v>
      </c>
      <c r="D9" s="5" t="n">
        <f aca="false">SUMIFS(Data!$H$2:$H$937,Data!$B$2:$B$937,$A9,Data!$D$2:$D$937,"30-34",Data!$E$2:$E$937,"M")</f>
        <v>4263</v>
      </c>
      <c r="E9" s="7" t="n">
        <f aca="false">SUMIFS(Data!$I$2:$I$937,Data!$B$2:$B$937,$A9,Data!$D$2:$D$937,"30-34",Data!$E$2:$E$937,"M")</f>
        <v>7476.069991039</v>
      </c>
      <c r="F9" s="5" t="n">
        <f aca="false">SUMIFS(Data!$K$2:$K$937,Data!$B$2:$B$937,$A9,Data!$D$2:$D$937,"30-34",Data!$E$2:$E$937,"M")</f>
        <v>240</v>
      </c>
      <c r="G9" s="11" t="n">
        <f aca="false">C9/(C9+C10)</f>
        <v>0.174551386623165</v>
      </c>
      <c r="H9" s="11" t="n">
        <f aca="false">E9/(E9+E10)</f>
        <v>0.134311556355578</v>
      </c>
      <c r="I9" s="11" t="n">
        <f aca="false">F9/(F9+F10)</f>
        <v>0.276179516685846</v>
      </c>
      <c r="J9" s="11" t="n">
        <f aca="false">IFERROR(F9/D9,0)</f>
        <v>0.0562983814215341</v>
      </c>
      <c r="K9" s="10" t="n">
        <f aca="false">IFERROR(E9/F9,0)</f>
        <v>31.1502916293292</v>
      </c>
    </row>
    <row r="10" customFormat="false" ht="15" hidden="false" customHeight="false" outlineLevel="0" collapsed="false">
      <c r="A10" s="6" t="n">
        <v>1178</v>
      </c>
      <c r="B10" s="6" t="s">
        <v>120</v>
      </c>
      <c r="C10" s="5" t="n">
        <f aca="false">COUNTIFS(Data!$B$2:$B$937,$A10)-C9</f>
        <v>506</v>
      </c>
      <c r="D10" s="5" t="n">
        <f aca="false">SUMIFS(Data!$H$2:$H$937,Data!$B$2:$B$937,$A10)-D9</f>
        <v>31805</v>
      </c>
      <c r="E10" s="7" t="n">
        <f aca="false">SUMIFS(Data!$I$2:$I$937,Data!$B$2:$B$937,$A10)-E9</f>
        <v>48186.079967575</v>
      </c>
      <c r="F10" s="5" t="n">
        <f aca="false">SUMIFS(Data!$K$2:$K$937,Data!$B$2:$B$937,$A10)-F9</f>
        <v>629</v>
      </c>
      <c r="G10" s="11" t="n">
        <f aca="false">C10/(C9+C10)</f>
        <v>0.825448613376835</v>
      </c>
      <c r="H10" s="11" t="n">
        <f aca="false">E10/(E9+E10)</f>
        <v>0.865688443644422</v>
      </c>
      <c r="I10" s="11" t="n">
        <f aca="false">F10/(F9+F10)</f>
        <v>0.723820483314154</v>
      </c>
      <c r="J10" s="11" t="n">
        <f aca="false">IFERROR(F10/D10,0)</f>
        <v>0.0197767646596447</v>
      </c>
      <c r="K10" s="10" t="n">
        <f aca="false">IFERROR(E10/F10,0)</f>
        <v>76.607440330008</v>
      </c>
    </row>
    <row r="12" customFormat="false" ht="15" hidden="false" customHeight="false" outlineLevel="0" collapsed="false">
      <c r="A12" s="25" t="s">
        <v>121</v>
      </c>
    </row>
    <row r="13" customFormat="false" ht="31.5" hidden="false" customHeight="true" outlineLevel="0" collapsed="false">
      <c r="A13" s="3" t="s">
        <v>122</v>
      </c>
      <c r="B13" s="3" t="s">
        <v>123</v>
      </c>
      <c r="C13" s="3" t="s">
        <v>124</v>
      </c>
      <c r="D13" s="3" t="s">
        <v>125</v>
      </c>
      <c r="E13" s="3" t="s">
        <v>126</v>
      </c>
      <c r="F13" s="3" t="s">
        <v>127</v>
      </c>
      <c r="G13" s="3" t="s">
        <v>128</v>
      </c>
      <c r="H13" s="3" t="s">
        <v>129</v>
      </c>
    </row>
    <row r="14" customFormat="false" ht="15" hidden="false" customHeight="false" outlineLevel="0" collapsed="false">
      <c r="A14" s="6" t="n">
        <v>916</v>
      </c>
      <c r="B14" s="11" t="n">
        <f aca="false">H5</f>
        <v>0.182619731113612</v>
      </c>
      <c r="C14" s="10" t="n">
        <f aca="false">(E9+E10)/(F9+F10)</f>
        <v>64.0531069719379</v>
      </c>
      <c r="D14" s="10" t="n">
        <f aca="false">1/(B14/K9+(1-B14)/K10)</f>
        <v>60.4877937004014</v>
      </c>
      <c r="E14" s="10" t="n">
        <f aca="false">(E5+E6)/(F5+F6)</f>
        <v>9.3568750410625</v>
      </c>
      <c r="F14" s="10" t="n">
        <f aca="false">C14-E14</f>
        <v>54.6962319308754</v>
      </c>
      <c r="G14" s="10" t="n">
        <f aca="false">C14-D14</f>
        <v>3.56531327153648</v>
      </c>
      <c r="H14" s="11" t="n">
        <f aca="false">IFERROR(G14/F14,0)</f>
        <v>0.0651838919368759</v>
      </c>
    </row>
    <row r="15" customFormat="false" ht="15" hidden="false" customHeight="false" outlineLevel="0" collapsed="false">
      <c r="A15" s="6" t="n">
        <v>936</v>
      </c>
      <c r="B15" s="11" t="n">
        <f aca="false">H7</f>
        <v>0.0475258954774753</v>
      </c>
      <c r="C15" s="10" t="n">
        <f aca="false">(E9+E10)/(F9+F10)</f>
        <v>64.0531069719379</v>
      </c>
      <c r="D15" s="10" t="n">
        <f aca="false">1/(B15/K9+(1-B15)/K10)</f>
        <v>71.6390019327197</v>
      </c>
      <c r="E15" s="10" t="n">
        <f aca="false">(E7+E8)/(F7+F8)</f>
        <v>24.5200847367288</v>
      </c>
      <c r="F15" s="10" t="n">
        <f aca="false">C15-E15</f>
        <v>39.533022235209</v>
      </c>
      <c r="G15" s="10" t="n">
        <f aca="false">C15-D15</f>
        <v>-7.5858949607818</v>
      </c>
      <c r="H15" s="11" t="n">
        <f aca="false">IFERROR(G15/F15,0)</f>
        <v>-0.191887554552448</v>
      </c>
    </row>
    <row r="17" customFormat="false" ht="15" hidden="false" customHeight="false" outlineLevel="0" collapsed="false">
      <c r="A17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4"/>
    <col collapsed="false" customWidth="true" hidden="false" outlineLevel="0" max="13" min="3" style="0" width="17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25" t="s">
        <v>133</v>
      </c>
    </row>
    <row r="5" customFormat="false" ht="15" hidden="false" customHeight="false" outlineLevel="0" collapsed="false">
      <c r="A5" s="6" t="s">
        <v>134</v>
      </c>
      <c r="B5" s="26" t="n">
        <v>1</v>
      </c>
    </row>
    <row r="6" customFormat="false" ht="15" hidden="false" customHeight="false" outlineLevel="0" collapsed="false">
      <c r="A6" s="6" t="s">
        <v>135</v>
      </c>
      <c r="B6" s="26" t="n">
        <v>1.5</v>
      </c>
    </row>
    <row r="7" customFormat="false" ht="15" hidden="false" customHeight="false" outlineLevel="0" collapsed="false">
      <c r="A7" s="6" t="s">
        <v>136</v>
      </c>
      <c r="B7" s="27" t="n">
        <v>0.5</v>
      </c>
    </row>
    <row r="8" customFormat="false" ht="15" hidden="false" customHeight="false" outlineLevel="0" collapsed="false">
      <c r="A8" s="6" t="s">
        <v>137</v>
      </c>
      <c r="B8" s="27" t="n">
        <v>0.05</v>
      </c>
    </row>
    <row r="9" customFormat="false" ht="15" hidden="false" customHeight="false" outlineLevel="0" collapsed="false">
      <c r="A9" s="6" t="s">
        <v>138</v>
      </c>
      <c r="B9" s="27" t="n">
        <v>0.36</v>
      </c>
    </row>
    <row r="10" customFormat="false" ht="15" hidden="false" customHeight="false" outlineLevel="0" collapsed="false">
      <c r="A10" s="6" t="s">
        <v>139</v>
      </c>
      <c r="B10" s="27" t="n">
        <v>0.4</v>
      </c>
    </row>
    <row r="12" customFormat="false" ht="15" hidden="false" customHeight="false" outlineLevel="0" collapsed="false">
      <c r="A12" s="25" t="s">
        <v>140</v>
      </c>
    </row>
    <row r="13" customFormat="false" ht="15" hidden="false" customHeight="false" outlineLevel="0" collapsed="false">
      <c r="A13" s="6" t="s">
        <v>141</v>
      </c>
      <c r="B13" s="7" t="n">
        <f aca="false">SUM(Data!$I$2:$I$937)</f>
        <v>58705.229958205</v>
      </c>
    </row>
    <row r="14" customFormat="false" ht="15" hidden="false" customHeight="false" outlineLevel="0" collapsed="false">
      <c r="A14" s="6" t="s">
        <v>142</v>
      </c>
      <c r="B14" s="5" t="n">
        <f aca="false">SUM(Data!$K$2:$K$937)</f>
        <v>1003</v>
      </c>
    </row>
    <row r="15" customFormat="false" ht="15" hidden="false" customHeight="false" outlineLevel="0" collapsed="false">
      <c r="A15" s="6" t="s">
        <v>143</v>
      </c>
      <c r="B15" s="5" t="n">
        <f aca="false">SUM(Data!$J$2:$J$937)</f>
        <v>3052</v>
      </c>
    </row>
    <row r="16" customFormat="false" ht="15" hidden="false" customHeight="false" outlineLevel="0" collapsed="false">
      <c r="A16" s="6" t="s">
        <v>144</v>
      </c>
      <c r="B16" s="11" t="n">
        <f aca="false">B14/B15</f>
        <v>0.328636959370904</v>
      </c>
    </row>
    <row r="17" customFormat="false" ht="15" hidden="false" customHeight="false" outlineLevel="0" collapsed="false">
      <c r="A17" s="6" t="s">
        <v>145</v>
      </c>
      <c r="B17" s="10" t="n">
        <f aca="false">B13/B14</f>
        <v>58.5296410350997</v>
      </c>
    </row>
    <row r="20" customFormat="false" ht="24" hidden="false" customHeight="true" outlineLevel="0" collapsed="false">
      <c r="A20" s="3" t="s">
        <v>146</v>
      </c>
      <c r="B20" s="3" t="s">
        <v>56</v>
      </c>
      <c r="C20" s="3" t="s">
        <v>62</v>
      </c>
      <c r="D20" s="3" t="s">
        <v>141</v>
      </c>
      <c r="E20" s="3" t="s">
        <v>48</v>
      </c>
      <c r="F20" s="3" t="s">
        <v>147</v>
      </c>
    </row>
    <row r="21" customFormat="false" ht="15" hidden="false" customHeight="false" outlineLevel="0" collapsed="false">
      <c r="A21" s="6" t="s">
        <v>148</v>
      </c>
      <c r="B21" s="6" t="s">
        <v>57</v>
      </c>
      <c r="C21" s="6" t="s">
        <v>63</v>
      </c>
      <c r="D21" s="7" t="n">
        <f aca="false">SUMIFS(Data!$I$2:$I$937,Data!$D$2:$D$937,$B21,Data!$E$2:$E$937,$C21)</f>
        <v>7611.479995127</v>
      </c>
      <c r="E21" s="5" t="n">
        <f aca="false">SUMIFS(Data!$K$2:$K$937,Data!$D$2:$D$937,$B21,Data!$E$2:$E$937,$C21)</f>
        <v>180</v>
      </c>
      <c r="F21" s="10" t="n">
        <f aca="false">D21/E21</f>
        <v>42.2859999729278</v>
      </c>
    </row>
    <row r="22" customFormat="false" ht="15" hidden="false" customHeight="false" outlineLevel="0" collapsed="false">
      <c r="A22" s="6" t="s">
        <v>149</v>
      </c>
      <c r="B22" s="6" t="s">
        <v>57</v>
      </c>
      <c r="C22" s="6" t="s">
        <v>64</v>
      </c>
      <c r="D22" s="7" t="n">
        <f aca="false">SUMIFS(Data!$I$2:$I$937,Data!$D$2:$D$937,$B22,Data!$E$2:$E$937,$C22)</f>
        <v>7640.919991251</v>
      </c>
      <c r="E22" s="5" t="n">
        <f aca="false">SUMIFS(Data!$K$2:$K$937,Data!$D$2:$D$937,$B22,Data!$E$2:$E$937,$C22)</f>
        <v>263</v>
      </c>
      <c r="F22" s="10" t="n">
        <f aca="false">D22/E22</f>
        <v>29.0529277233878</v>
      </c>
    </row>
    <row r="23" customFormat="false" ht="15" hidden="false" customHeight="false" outlineLevel="0" collapsed="false">
      <c r="A23" s="6" t="s">
        <v>150</v>
      </c>
      <c r="B23" s="6" t="s">
        <v>58</v>
      </c>
      <c r="C23" s="6" t="s">
        <v>63</v>
      </c>
      <c r="D23" s="7" t="n">
        <f aca="false">SUMIFS(Data!$I$2:$I$937,Data!$D$2:$D$937,$B23,Data!$E$2:$E$937,$C23)</f>
        <v>6061.349991827</v>
      </c>
      <c r="E23" s="5" t="n">
        <f aca="false">SUMIFS(Data!$K$2:$K$937,Data!$D$2:$D$937,$B23,Data!$E$2:$E$937,$C23)</f>
        <v>90</v>
      </c>
      <c r="F23" s="10" t="n">
        <f aca="false">D23/E23</f>
        <v>67.3483332425222</v>
      </c>
    </row>
    <row r="24" customFormat="false" ht="15" hidden="false" customHeight="false" outlineLevel="0" collapsed="false">
      <c r="A24" s="6" t="s">
        <v>151</v>
      </c>
      <c r="B24" s="6" t="s">
        <v>58</v>
      </c>
      <c r="C24" s="6" t="s">
        <v>64</v>
      </c>
      <c r="D24" s="7" t="n">
        <f aca="false">SUMIFS(Data!$I$2:$I$937,Data!$D$2:$D$937,$B24,Data!$E$2:$E$937,$C24)</f>
        <v>5051.080002508</v>
      </c>
      <c r="E24" s="5" t="n">
        <f aca="false">SUMIFS(Data!$K$2:$K$937,Data!$D$2:$D$937,$B24,Data!$E$2:$E$937,$C24)</f>
        <v>109</v>
      </c>
      <c r="F24" s="10" t="n">
        <f aca="false">D24/E24</f>
        <v>46.3401835092477</v>
      </c>
    </row>
    <row r="25" customFormat="false" ht="15" hidden="false" customHeight="false" outlineLevel="0" collapsed="false">
      <c r="A25" s="6" t="s">
        <v>152</v>
      </c>
      <c r="B25" s="6" t="s">
        <v>59</v>
      </c>
      <c r="C25" s="6" t="s">
        <v>63</v>
      </c>
      <c r="D25" s="7" t="n">
        <f aca="false">SUMIFS(Data!$I$2:$I$937,Data!$D$2:$D$937,$B25,Data!$E$2:$E$937,$C25)</f>
        <v>7396.579983637</v>
      </c>
      <c r="E25" s="5" t="n">
        <f aca="false">SUMIFS(Data!$K$2:$K$937,Data!$D$2:$D$937,$B25,Data!$E$2:$E$937,$C25)</f>
        <v>89</v>
      </c>
      <c r="F25" s="10" t="n">
        <f aca="false">D25/E25</f>
        <v>83.1076402655843</v>
      </c>
    </row>
    <row r="26" customFormat="false" ht="15" hidden="false" customHeight="false" outlineLevel="0" collapsed="false">
      <c r="A26" s="6" t="s">
        <v>153</v>
      </c>
      <c r="B26" s="6" t="s">
        <v>59</v>
      </c>
      <c r="C26" s="6" t="s">
        <v>64</v>
      </c>
      <c r="D26" s="7" t="n">
        <f aca="false">SUMIFS(Data!$I$2:$I$937,Data!$D$2:$D$937,$B26,Data!$E$2:$E$937,$C26)</f>
        <v>4193.149997201</v>
      </c>
      <c r="E26" s="5" t="n">
        <f aca="false">SUMIFS(Data!$K$2:$K$937,Data!$D$2:$D$937,$B26,Data!$E$2:$E$937,$C26)</f>
        <v>73</v>
      </c>
      <c r="F26" s="10" t="n">
        <f aca="false">D26/E26</f>
        <v>57.4404109205616</v>
      </c>
    </row>
    <row r="27" customFormat="false" ht="15" hidden="false" customHeight="false" outlineLevel="0" collapsed="false">
      <c r="A27" s="6" t="s">
        <v>154</v>
      </c>
      <c r="B27" s="6" t="s">
        <v>60</v>
      </c>
      <c r="C27" s="6" t="s">
        <v>63</v>
      </c>
      <c r="D27" s="7" t="n">
        <f aca="false">SUMIFS(Data!$I$2:$I$937,Data!$D$2:$D$937,$B27,Data!$E$2:$E$937,$C27)</f>
        <v>13433.209992777</v>
      </c>
      <c r="E27" s="5" t="n">
        <f aca="false">SUMIFS(Data!$K$2:$K$937,Data!$D$2:$D$937,$B27,Data!$E$2:$E$937,$C27)</f>
        <v>108</v>
      </c>
      <c r="F27" s="10" t="n">
        <f aca="false">D27/E27</f>
        <v>124.381574007194</v>
      </c>
    </row>
    <row r="28" customFormat="false" ht="15" hidden="false" customHeight="false" outlineLevel="0" collapsed="false">
      <c r="A28" s="6" t="s">
        <v>155</v>
      </c>
      <c r="B28" s="6" t="s">
        <v>60</v>
      </c>
      <c r="C28" s="6" t="s">
        <v>64</v>
      </c>
      <c r="D28" s="7" t="n">
        <f aca="false">SUMIFS(Data!$I$2:$I$937,Data!$D$2:$D$937,$B28,Data!$E$2:$E$937,$C28)</f>
        <v>7317.460003877</v>
      </c>
      <c r="E28" s="5" t="n">
        <f aca="false">SUMIFS(Data!$K$2:$K$937,Data!$D$2:$D$937,$B28,Data!$E$2:$E$937,$C28)</f>
        <v>91</v>
      </c>
      <c r="F28" s="10" t="n">
        <f aca="false">D28/E28</f>
        <v>80.4116483942528</v>
      </c>
    </row>
    <row r="30" customFormat="false" ht="15" hidden="false" customHeight="false" outlineLevel="0" collapsed="false">
      <c r="A30" s="25" t="s">
        <v>156</v>
      </c>
    </row>
    <row r="31" customFormat="false" ht="43.5" hidden="false" customHeight="true" outlineLevel="0" collapsed="false">
      <c r="A31" s="3" t="s">
        <v>157</v>
      </c>
      <c r="B31" s="3" t="s">
        <v>158</v>
      </c>
      <c r="C31" s="3" t="s">
        <v>159</v>
      </c>
      <c r="D31" s="3" t="s">
        <v>160</v>
      </c>
      <c r="E31" s="3" t="s">
        <v>161</v>
      </c>
      <c r="F31" s="3" t="s">
        <v>162</v>
      </c>
      <c r="G31" s="3" t="s">
        <v>163</v>
      </c>
      <c r="H31" s="3" t="s">
        <v>164</v>
      </c>
      <c r="I31" s="3" t="s">
        <v>165</v>
      </c>
      <c r="J31" s="3" t="s">
        <v>166</v>
      </c>
      <c r="K31" s="3" t="s">
        <v>167</v>
      </c>
      <c r="L31" s="3" t="s">
        <v>168</v>
      </c>
      <c r="M31" s="3" t="s">
        <v>169</v>
      </c>
    </row>
    <row r="32" customFormat="false" ht="15" hidden="false" customHeight="false" outlineLevel="0" collapsed="false">
      <c r="A32" s="6" t="s">
        <v>170</v>
      </c>
      <c r="B32" s="6" t="s">
        <v>171</v>
      </c>
      <c r="C32" s="27" t="n">
        <v>0.25</v>
      </c>
      <c r="D32" s="28" t="n">
        <f aca="false">C32*(D27)</f>
        <v>3358.30249819425</v>
      </c>
      <c r="E32" s="29" t="n">
        <f aca="false">C32*(E27)</f>
        <v>27</v>
      </c>
      <c r="F32" s="29" t="n">
        <f aca="false">D32/2/(F22*$B$5)+D32/2/(F21*$B$5)</f>
        <v>97.5056732016682</v>
      </c>
      <c r="G32" s="10" t="n">
        <f aca="false">$B$13/($B$14-E32+F32)</f>
        <v>54.6855330378647</v>
      </c>
      <c r="H32" s="11" t="n">
        <f aca="false">1-G32/$B$17</f>
        <v>0.0656779698158364</v>
      </c>
      <c r="I32" s="29" t="n">
        <f aca="false">D32/2/(F22*$B$6)+D32/2/(F21*$B$6)</f>
        <v>65.0037821344455</v>
      </c>
      <c r="J32" s="10" t="n">
        <f aca="false">$B$13/($B$14-E32+I32)</f>
        <v>56.3929074665199</v>
      </c>
      <c r="K32" s="11" t="n">
        <f aca="false">1-J32/$B$17</f>
        <v>0.036506862690281</v>
      </c>
      <c r="L32" s="29" t="n">
        <f aca="false">F32-E32</f>
        <v>70.5056732016682</v>
      </c>
      <c r="M32" s="29" t="n">
        <f aca="false">I32-E32</f>
        <v>38.0037821344455</v>
      </c>
    </row>
    <row r="33" customFormat="false" ht="15" hidden="false" customHeight="false" outlineLevel="0" collapsed="false">
      <c r="A33" s="6" t="s">
        <v>172</v>
      </c>
      <c r="B33" s="6" t="s">
        <v>171</v>
      </c>
      <c r="C33" s="27" t="n">
        <v>0.5</v>
      </c>
      <c r="D33" s="28" t="n">
        <f aca="false">C33*(D27)</f>
        <v>6716.6049963885</v>
      </c>
      <c r="E33" s="29" t="n">
        <f aca="false">C33*(E27)</f>
        <v>54</v>
      </c>
      <c r="F33" s="29" t="n">
        <f aca="false">D33/2/(F22*$B$5)+D33/2/(F21*$B$5)</f>
        <v>195.011346403336</v>
      </c>
      <c r="G33" s="10" t="n">
        <f aca="false">$B$13/($B$14-E33+F33)</f>
        <v>51.3152514988323</v>
      </c>
      <c r="H33" s="11" t="n">
        <f aca="false">1-G33/$B$17</f>
        <v>0.12326044391663</v>
      </c>
      <c r="I33" s="29" t="n">
        <f aca="false">D33/2/(F22*$B$6)+D33/2/(F21*$B$6)</f>
        <v>130.007564268891</v>
      </c>
      <c r="J33" s="10" t="n">
        <f aca="false">$B$13/($B$14-E33+I33)</f>
        <v>54.4066899085941</v>
      </c>
      <c r="K33" s="11" t="n">
        <f aca="false">1-J33/$B$17</f>
        <v>0.0704421051212851</v>
      </c>
      <c r="L33" s="29" t="n">
        <f aca="false">F33-E33</f>
        <v>141.011346403336</v>
      </c>
      <c r="M33" s="29" t="n">
        <f aca="false">I33-E33</f>
        <v>76.007564268891</v>
      </c>
    </row>
    <row r="34" customFormat="false" ht="15" hidden="false" customHeight="false" outlineLevel="0" collapsed="false">
      <c r="A34" s="6" t="s">
        <v>173</v>
      </c>
      <c r="B34" s="6" t="s">
        <v>174</v>
      </c>
      <c r="C34" s="27" t="n">
        <v>0.5</v>
      </c>
      <c r="D34" s="28" t="n">
        <f aca="false">C34*(D27+D25+D28)</f>
        <v>14073.6249901455</v>
      </c>
      <c r="E34" s="29" t="n">
        <f aca="false">C34*(E27+E25+E28)</f>
        <v>144</v>
      </c>
      <c r="F34" s="29" t="n">
        <f aca="false">D34/2/(F22*$B$5)+D34/2/(F21*$B$5)</f>
        <v>408.616638849484</v>
      </c>
      <c r="G34" s="10" t="n">
        <f aca="false">$B$13/($B$14-E34+F34)</f>
        <v>46.3115015683978</v>
      </c>
      <c r="H34" s="11" t="n">
        <f aca="false">1-G34/$B$17</f>
        <v>0.208751313874876</v>
      </c>
      <c r="I34" s="29" t="n">
        <f aca="false">D34/2/(F22*$B$6)+D34/2/(F21*$B$6)</f>
        <v>272.411092566322</v>
      </c>
      <c r="J34" s="10" t="n">
        <f aca="false">$B$13/($B$14-E34+I34)</f>
        <v>51.8867371408273</v>
      </c>
      <c r="K34" s="11" t="n">
        <f aca="false">1-J34/$B$17</f>
        <v>0.113496405868758</v>
      </c>
      <c r="L34" s="29" t="n">
        <f aca="false">F34-E34</f>
        <v>264.616638849484</v>
      </c>
      <c r="M34" s="29" t="n">
        <f aca="false">I34-E34</f>
        <v>128.411092566322</v>
      </c>
    </row>
    <row r="37" customFormat="false" ht="15" hidden="false" customHeight="false" outlineLevel="0" collapsed="false">
      <c r="A37" s="25" t="s">
        <v>175</v>
      </c>
    </row>
    <row r="38" customFormat="false" ht="43.5" hidden="false" customHeight="true" outlineLevel="0" collapsed="false">
      <c r="A38" s="3" t="s">
        <v>157</v>
      </c>
      <c r="B38" s="3" t="s">
        <v>176</v>
      </c>
      <c r="C38" s="3" t="s">
        <v>177</v>
      </c>
      <c r="D38" s="3" t="s">
        <v>178</v>
      </c>
      <c r="E38" s="3" t="s">
        <v>179</v>
      </c>
      <c r="F38" s="3" t="s">
        <v>180</v>
      </c>
    </row>
    <row r="39" customFormat="false" ht="15" hidden="false" customHeight="false" outlineLevel="0" collapsed="false">
      <c r="A39" s="6" t="str">
        <f aca="false">"AR to "&amp;TEXT(B9,"0%")</f>
        <v>AR to 36%</v>
      </c>
      <c r="B39" s="30" t="n">
        <f aca="false">B9</f>
        <v>0.36</v>
      </c>
      <c r="C39" s="5" t="n">
        <f aca="false">$B$15*B39</f>
        <v>1098.72</v>
      </c>
      <c r="D39" s="10" t="n">
        <f aca="false">$B$13/C39</f>
        <v>53.4305646190158</v>
      </c>
      <c r="E39" s="11" t="n">
        <f aca="false">1-D39/$B$17</f>
        <v>0.0871195573030436</v>
      </c>
      <c r="F39" s="5" t="n">
        <f aca="false">C39-$B$14</f>
        <v>95.72</v>
      </c>
    </row>
    <row r="40" customFormat="false" ht="15" hidden="false" customHeight="false" outlineLevel="0" collapsed="false">
      <c r="A40" s="6" t="str">
        <f aca="false">"AR to "&amp;TEXT(B10,"0%")</f>
        <v>AR to 40%</v>
      </c>
      <c r="B40" s="30" t="n">
        <f aca="false">B10</f>
        <v>0.4</v>
      </c>
      <c r="C40" s="5" t="n">
        <f aca="false">$B$15*B40</f>
        <v>1220.8</v>
      </c>
      <c r="D40" s="10" t="n">
        <f aca="false">$B$13/C40</f>
        <v>48.0875081571142</v>
      </c>
      <c r="E40" s="11" t="n">
        <f aca="false">1-D40/$B$17</f>
        <v>0.178407601572739</v>
      </c>
      <c r="F40" s="5" t="n">
        <f aca="false">C40-$B$14</f>
        <v>217.8</v>
      </c>
    </row>
    <row r="41" customFormat="false" ht="15" hidden="false" customHeight="false" outlineLevel="0" collapsed="false">
      <c r="A41" s="6" t="s">
        <v>181</v>
      </c>
      <c r="B41" s="11" t="n">
        <f aca="false">SUMIFS(Data!$K$2:$K$937,Data!$E$2:$E$937,"M")/SUMIFS(Data!$J$2:$J$937,Data!$E$2:$E$937,"M")</f>
        <v>0.358528428093646</v>
      </c>
      <c r="C41" s="5" t="n">
        <f aca="false">SUMIFS(Data!$K$2:$K$937,Data!$E$2:$E$937,"M")+SUMIFS(Data!$J$2:$J$937,Data!$E$2:$E$937,"F")*B41</f>
        <v>1094.22876254181</v>
      </c>
      <c r="D41" s="10" t="n">
        <f aca="false">$B$13/C41</f>
        <v>53.6498691752878</v>
      </c>
      <c r="E41" s="11" t="n">
        <f aca="false">1-D41/$B$17</f>
        <v>0.0833726599636159</v>
      </c>
      <c r="F41" s="5" t="n">
        <f aca="false">C41-$B$14</f>
        <v>91.2287625418062</v>
      </c>
    </row>
    <row r="43" customFormat="false" ht="15" hidden="false" customHeight="false" outlineLevel="0" collapsed="false">
      <c r="A43" s="25" t="s">
        <v>182</v>
      </c>
    </row>
    <row r="44" customFormat="false" ht="43.5" hidden="false" customHeight="true" outlineLevel="0" collapsed="false">
      <c r="A44" s="3" t="s">
        <v>157</v>
      </c>
      <c r="B44" s="3" t="s">
        <v>183</v>
      </c>
      <c r="C44" s="3" t="s">
        <v>184</v>
      </c>
      <c r="D44" s="3" t="s">
        <v>185</v>
      </c>
      <c r="E44" s="3" t="s">
        <v>163</v>
      </c>
      <c r="F44" s="3" t="s">
        <v>164</v>
      </c>
      <c r="G44" s="3" t="s">
        <v>186</v>
      </c>
      <c r="H44" s="3" t="s">
        <v>166</v>
      </c>
      <c r="I44" s="3" t="s">
        <v>167</v>
      </c>
    </row>
    <row r="45" customFormat="false" ht="15" hidden="false" customHeight="false" outlineLevel="0" collapsed="false">
      <c r="A45" s="6" t="s">
        <v>187</v>
      </c>
      <c r="B45" s="28" t="n">
        <f aca="false">SUMIFS(Data!$I$2:$I$937,Data!$K$2:$K$937,0)</f>
        <v>14754.420008475</v>
      </c>
      <c r="C45" s="30" t="n">
        <f aca="false">$B$7</f>
        <v>0.5</v>
      </c>
      <c r="D45" s="5" t="n">
        <f aca="false">$B$14+B45*C45/($B$17*$B$5)</f>
        <v>1129.04229026133</v>
      </c>
      <c r="E45" s="10" t="n">
        <f aca="false">$B$13/D45</f>
        <v>51.9955988049101</v>
      </c>
      <c r="F45" s="11" t="n">
        <f aca="false">1-E45/$B$17</f>
        <v>0.11163646512493</v>
      </c>
      <c r="G45" s="5" t="n">
        <f aca="false">$B$14+B45*C45/($B$17*$B$6)</f>
        <v>1087.02819350755</v>
      </c>
      <c r="H45" s="10" t="n">
        <f aca="false">$B$13/G45</f>
        <v>54.0052505618817</v>
      </c>
      <c r="I45" s="11" t="n">
        <f aca="false">1-H45/$B$17</f>
        <v>0.0773008409620146</v>
      </c>
    </row>
    <row r="47" customFormat="false" ht="15" hidden="false" customHeight="false" outlineLevel="0" collapsed="false">
      <c r="A47" s="25" t="s">
        <v>188</v>
      </c>
    </row>
    <row r="48" customFormat="false" ht="43.5" hidden="false" customHeight="true" outlineLevel="0" collapsed="false">
      <c r="A48" s="3" t="s">
        <v>157</v>
      </c>
      <c r="B48" s="3" t="s">
        <v>160</v>
      </c>
      <c r="C48" s="3" t="s">
        <v>189</v>
      </c>
      <c r="D48" s="3" t="s">
        <v>190</v>
      </c>
      <c r="E48" s="3" t="s">
        <v>185</v>
      </c>
      <c r="F48" s="3" t="s">
        <v>163</v>
      </c>
      <c r="G48" s="3" t="s">
        <v>164</v>
      </c>
      <c r="H48" s="3" t="s">
        <v>186</v>
      </c>
      <c r="I48" s="3" t="s">
        <v>166</v>
      </c>
      <c r="J48" s="3" t="s">
        <v>167</v>
      </c>
    </row>
    <row r="49" customFormat="false" ht="15" hidden="false" customHeight="false" outlineLevel="0" collapsed="false">
      <c r="A49" s="6" t="s">
        <v>191</v>
      </c>
      <c r="B49" s="28" t="n">
        <f aca="false">$B$8*SUMIFS(Data!$I$2:$I$937,Data!$B$2:$B$937,1178)</f>
        <v>2783.1074979307</v>
      </c>
      <c r="C49" s="10" t="n">
        <f aca="false">SUMIFS(Data!$I$2:$I$937,Data!$B$2:$B$937,1178)/SUMIFS(Data!$K$2:$K$937,Data!$B$2:$B$937,1178)</f>
        <v>64.0531069719379</v>
      </c>
      <c r="D49" s="10" t="n">
        <f aca="false">SUMIFS(Data!$I$2:$I$937,Data!$B$2:$B$937,936)/SUMIFS(Data!$K$2:$K$937,Data!$B$2:$B$937,936)</f>
        <v>24.5200847367288</v>
      </c>
      <c r="E49" s="5" t="n">
        <f aca="false">$B$14-B49/C49+B49/(D49*$B$5)</f>
        <v>1073.05317618446</v>
      </c>
      <c r="F49" s="10" t="n">
        <f aca="false">$B$13/E49</f>
        <v>54.7085934426364</v>
      </c>
      <c r="G49" s="11" t="n">
        <f aca="false">1-F49/$B$17</f>
        <v>0.0652839744937425</v>
      </c>
      <c r="H49" s="5" t="n">
        <f aca="false">$B$14-B49/C49+B49/(D49*$B$6)</f>
        <v>1035.21878412297</v>
      </c>
      <c r="I49" s="10" t="n">
        <f aca="false">$B$13/H49</f>
        <v>56.7080416802325</v>
      </c>
      <c r="J49" s="11" t="n">
        <f aca="false">1-I49/$B$17</f>
        <v>0.031122681134757</v>
      </c>
    </row>
    <row r="51" customFormat="false" ht="15" hidden="false" customHeight="false" outlineLevel="0" collapsed="false">
      <c r="A51" s="25" t="s">
        <v>192</v>
      </c>
    </row>
    <row r="52" customFormat="false" ht="43.5" hidden="false" customHeight="true" outlineLevel="0" collapsed="false">
      <c r="A52" s="3" t="s">
        <v>157</v>
      </c>
      <c r="B52" s="3" t="s">
        <v>185</v>
      </c>
      <c r="C52" s="3" t="s">
        <v>163</v>
      </c>
      <c r="D52" s="3" t="s">
        <v>164</v>
      </c>
      <c r="E52" s="3" t="s">
        <v>186</v>
      </c>
      <c r="F52" s="3" t="s">
        <v>166</v>
      </c>
      <c r="G52" s="3" t="s">
        <v>167</v>
      </c>
    </row>
    <row r="53" customFormat="false" ht="15" hidden="false" customHeight="false" outlineLevel="0" collapsed="false">
      <c r="A53" s="6" t="s">
        <v>193</v>
      </c>
      <c r="B53" s="5" t="n">
        <f aca="false">($B$14-E33+F33)*($B$9/$B$16)</f>
        <v>1253.18858077794</v>
      </c>
      <c r="C53" s="10" t="n">
        <f aca="false">$B$13/B53</f>
        <v>46.8446895053597</v>
      </c>
      <c r="D53" s="11" t="n">
        <f aca="false">1-C53/$B$17</f>
        <v>0.19964160591268</v>
      </c>
      <c r="E53" s="5" t="n">
        <f aca="false">($B$14-E33+I33)*($B$9/$B$16)</f>
        <v>1181.9812472717</v>
      </c>
      <c r="F53" s="10" t="n">
        <f aca="false">$B$13/E53</f>
        <v>49.6668031694334</v>
      </c>
      <c r="G53" s="11" t="n">
        <f aca="false">1-F53/$B$17</f>
        <v>0.151424777410668</v>
      </c>
    </row>
    <row r="55" customFormat="false" ht="15" hidden="false" customHeight="false" outlineLevel="0" collapsed="false">
      <c r="A55" s="25" t="s">
        <v>194</v>
      </c>
    </row>
    <row r="56" customFormat="false" ht="43.5" hidden="false" customHeight="true" outlineLevel="0" collapsed="false">
      <c r="A56" s="3" t="s">
        <v>157</v>
      </c>
      <c r="B56" s="3" t="s">
        <v>160</v>
      </c>
      <c r="C56" s="3" t="s">
        <v>161</v>
      </c>
      <c r="D56" s="3" t="s">
        <v>195</v>
      </c>
      <c r="E56" s="3" t="s">
        <v>185</v>
      </c>
      <c r="F56" s="3" t="s">
        <v>163</v>
      </c>
      <c r="G56" s="3" t="s">
        <v>164</v>
      </c>
      <c r="H56" s="3" t="s">
        <v>186</v>
      </c>
      <c r="I56" s="3" t="s">
        <v>166</v>
      </c>
      <c r="J56" s="3" t="s">
        <v>167</v>
      </c>
    </row>
    <row r="57" customFormat="false" ht="15" hidden="false" customHeight="false" outlineLevel="0" collapsed="false">
      <c r="A57" s="6" t="s">
        <v>196</v>
      </c>
      <c r="B57" s="28" t="n">
        <f aca="false">0.5*(SUMIFS(Data!$I$2:$I$937,Data!$F$2:$F$937,27)+SUMIFS(Data!$I$2:$I$937,Data!$F$2:$F$937,22))</f>
        <v>3108.014995001</v>
      </c>
      <c r="C57" s="29" t="n">
        <f aca="false">0.5*(SUMIFS(Data!$K$2:$K$937,Data!$F$2:$F$937,27)+SUMIFS(Data!$K$2:$K$937,Data!$F$2:$F$937,22))</f>
        <v>32.5</v>
      </c>
      <c r="D57" s="10" t="n">
        <f aca="false">(SUMIFS(Data!$I$2:$I$937,Data!$F$2:$F$937,29)+SUMIFS(Data!$I$2:$I$937,Data!$F$2:$F$937,20)+SUMIFS(Data!$I$2:$I$937,Data!$F$2:$F$937,15))/(SUMIFS(Data!$K$2:$K$937,Data!$F$2:$F$937,29)+SUMIFS(Data!$K$2:$K$937,Data!$F$2:$F$937,20)+SUMIFS(Data!$K$2:$K$937,Data!$F$2:$F$937,15))</f>
        <v>42.4921239116991</v>
      </c>
      <c r="E57" s="5" t="n">
        <f aca="false">$B$14-C57+B57/(D57*$B$5)</f>
        <v>1043.64331948809</v>
      </c>
      <c r="F57" s="10" t="n">
        <f aca="false">$B$13/E57</f>
        <v>56.2502809743467</v>
      </c>
      <c r="G57" s="11" t="n">
        <f aca="false">1-F57/$B$17</f>
        <v>0.0389436876844357</v>
      </c>
      <c r="H57" s="5" t="n">
        <f aca="false">$B$14-C57+B57/(D57*$B$6)</f>
        <v>1019.26221299206</v>
      </c>
      <c r="I57" s="10" t="n">
        <f aca="false">$B$13/H57</f>
        <v>57.5958072514773</v>
      </c>
      <c r="J57" s="11" t="n">
        <f aca="false">1-I57/$B$17</f>
        <v>0.0159548865687107</v>
      </c>
    </row>
    <row r="60" customFormat="false" ht="15" hidden="false" customHeight="false" outlineLevel="0" collapsed="false">
      <c r="A60" s="25" t="s">
        <v>197</v>
      </c>
    </row>
    <row r="61" customFormat="false" ht="15" hidden="false" customHeight="false" outlineLevel="0" collapsed="false">
      <c r="A61" s="2" t="s">
        <v>198</v>
      </c>
    </row>
    <row r="62" customFormat="false" ht="15" hidden="false" customHeight="false" outlineLevel="0" collapsed="false">
      <c r="A62" s="2" t="s">
        <v>199</v>
      </c>
    </row>
    <row r="63" customFormat="false" ht="15" hidden="false" customHeight="false" outlineLevel="0" collapsed="false">
      <c r="A63" s="2" t="s">
        <v>200</v>
      </c>
    </row>
    <row r="64" customFormat="false" ht="15" hidden="false" customHeight="false" outlineLevel="0" collapsed="false">
      <c r="A64" s="2" t="s">
        <v>201</v>
      </c>
    </row>
    <row r="65" customFormat="false" ht="15" hidden="false" customHeight="false" outlineLevel="0" collapsed="false">
      <c r="A65" s="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31.5" hidden="false" customHeight="true" outlineLevel="0" collapsed="false">
      <c r="A1" s="3" t="s">
        <v>203</v>
      </c>
      <c r="B1" s="3" t="s">
        <v>45</v>
      </c>
      <c r="C1" s="3" t="s">
        <v>204</v>
      </c>
      <c r="D1" s="3" t="s">
        <v>205</v>
      </c>
      <c r="E1" s="3" t="s">
        <v>206</v>
      </c>
      <c r="F1" s="3" t="s">
        <v>207</v>
      </c>
      <c r="G1" s="3" t="s">
        <v>9</v>
      </c>
      <c r="H1" s="3" t="s">
        <v>11</v>
      </c>
      <c r="I1" s="3" t="s">
        <v>208</v>
      </c>
      <c r="J1" s="3" t="s">
        <v>209</v>
      </c>
      <c r="K1" s="3" t="s">
        <v>210</v>
      </c>
      <c r="M1" s="2" t="s">
        <v>211</v>
      </c>
    </row>
    <row r="2" customFormat="false" ht="15" hidden="false" customHeight="false" outlineLevel="0" collapsed="false">
      <c r="A2" s="31" t="n">
        <v>708746</v>
      </c>
      <c r="B2" s="31" t="n">
        <v>916</v>
      </c>
      <c r="C2" s="31" t="n">
        <v>103916</v>
      </c>
      <c r="D2" s="31" t="s">
        <v>57</v>
      </c>
      <c r="E2" s="31" t="s">
        <v>64</v>
      </c>
      <c r="F2" s="31" t="n">
        <v>15</v>
      </c>
      <c r="G2" s="31" t="n">
        <v>7350</v>
      </c>
      <c r="H2" s="31" t="n">
        <v>1</v>
      </c>
      <c r="I2" s="32" t="n">
        <v>1.429999948</v>
      </c>
      <c r="J2" s="31" t="n">
        <v>2</v>
      </c>
      <c r="K2" s="31" t="n">
        <v>1</v>
      </c>
    </row>
    <row r="3" customFormat="false" ht="15" hidden="false" customHeight="false" outlineLevel="0" collapsed="false">
      <c r="A3" s="31" t="n">
        <v>708749</v>
      </c>
      <c r="B3" s="31" t="n">
        <v>916</v>
      </c>
      <c r="C3" s="31" t="n">
        <v>103917</v>
      </c>
      <c r="D3" s="31" t="s">
        <v>57</v>
      </c>
      <c r="E3" s="31" t="s">
        <v>64</v>
      </c>
      <c r="F3" s="31" t="n">
        <v>16</v>
      </c>
      <c r="G3" s="31" t="n">
        <v>17861</v>
      </c>
      <c r="H3" s="31" t="n">
        <v>2</v>
      </c>
      <c r="I3" s="32" t="n">
        <v>1.820000023</v>
      </c>
      <c r="J3" s="31" t="n">
        <v>2</v>
      </c>
      <c r="K3" s="31" t="n">
        <v>0</v>
      </c>
    </row>
    <row r="4" customFormat="false" ht="15" hidden="false" customHeight="false" outlineLevel="0" collapsed="false">
      <c r="A4" s="31" t="n">
        <v>708815</v>
      </c>
      <c r="B4" s="31" t="n">
        <v>916</v>
      </c>
      <c r="C4" s="31" t="n">
        <v>103928</v>
      </c>
      <c r="D4" s="31" t="s">
        <v>57</v>
      </c>
      <c r="E4" s="31" t="s">
        <v>64</v>
      </c>
      <c r="F4" s="31" t="n">
        <v>28</v>
      </c>
      <c r="G4" s="31" t="n">
        <v>4259</v>
      </c>
      <c r="H4" s="31" t="n">
        <v>1</v>
      </c>
      <c r="I4" s="32" t="n">
        <v>1.25</v>
      </c>
      <c r="J4" s="31" t="n">
        <v>1</v>
      </c>
      <c r="K4" s="31" t="n">
        <v>0</v>
      </c>
    </row>
    <row r="5" customFormat="false" ht="15" hidden="false" customHeight="false" outlineLevel="0" collapsed="false">
      <c r="A5" s="31" t="n">
        <v>708818</v>
      </c>
      <c r="B5" s="31" t="n">
        <v>916</v>
      </c>
      <c r="C5" s="31" t="n">
        <v>103928</v>
      </c>
      <c r="D5" s="31" t="s">
        <v>57</v>
      </c>
      <c r="E5" s="31" t="s">
        <v>64</v>
      </c>
      <c r="F5" s="31" t="n">
        <v>28</v>
      </c>
      <c r="G5" s="31" t="n">
        <v>4133</v>
      </c>
      <c r="H5" s="31" t="n">
        <v>1</v>
      </c>
      <c r="I5" s="32" t="n">
        <v>1.289999962</v>
      </c>
      <c r="J5" s="31" t="n">
        <v>1</v>
      </c>
      <c r="K5" s="31" t="n">
        <v>1</v>
      </c>
    </row>
    <row r="6" customFormat="false" ht="15" hidden="false" customHeight="false" outlineLevel="0" collapsed="false">
      <c r="A6" s="31" t="n">
        <v>708889</v>
      </c>
      <c r="B6" s="31" t="n">
        <v>916</v>
      </c>
      <c r="C6" s="31" t="n">
        <v>103940</v>
      </c>
      <c r="D6" s="31" t="s">
        <v>57</v>
      </c>
      <c r="E6" s="31" t="s">
        <v>64</v>
      </c>
      <c r="F6" s="31" t="n">
        <v>15</v>
      </c>
      <c r="G6" s="31" t="n">
        <v>15615</v>
      </c>
      <c r="H6" s="31" t="n">
        <v>3</v>
      </c>
      <c r="I6" s="32" t="n">
        <v>4.769999981</v>
      </c>
      <c r="J6" s="31" t="n">
        <v>1</v>
      </c>
      <c r="K6" s="31" t="n">
        <v>0</v>
      </c>
    </row>
    <row r="7" customFormat="false" ht="15" hidden="false" customHeight="false" outlineLevel="0" collapsed="false">
      <c r="A7" s="31" t="n">
        <v>708895</v>
      </c>
      <c r="B7" s="31" t="n">
        <v>916</v>
      </c>
      <c r="C7" s="31" t="n">
        <v>103941</v>
      </c>
      <c r="D7" s="31" t="s">
        <v>57</v>
      </c>
      <c r="E7" s="31" t="s">
        <v>64</v>
      </c>
      <c r="F7" s="31" t="n">
        <v>16</v>
      </c>
      <c r="G7" s="31" t="n">
        <v>10951</v>
      </c>
      <c r="H7" s="31" t="n">
        <v>1</v>
      </c>
      <c r="I7" s="32" t="n">
        <v>1.269999981</v>
      </c>
      <c r="J7" s="31" t="n">
        <v>1</v>
      </c>
      <c r="K7" s="31" t="n">
        <v>1</v>
      </c>
    </row>
    <row r="8" customFormat="false" ht="15" hidden="false" customHeight="false" outlineLevel="0" collapsed="false">
      <c r="A8" s="31" t="n">
        <v>708953</v>
      </c>
      <c r="B8" s="31" t="n">
        <v>916</v>
      </c>
      <c r="C8" s="31" t="n">
        <v>103951</v>
      </c>
      <c r="D8" s="31" t="s">
        <v>57</v>
      </c>
      <c r="E8" s="31" t="s">
        <v>64</v>
      </c>
      <c r="F8" s="31" t="n">
        <v>27</v>
      </c>
      <c r="G8" s="31" t="n">
        <v>2355</v>
      </c>
      <c r="H8" s="31" t="n">
        <v>1</v>
      </c>
      <c r="I8" s="32" t="n">
        <v>1.5</v>
      </c>
      <c r="J8" s="31" t="n">
        <v>1</v>
      </c>
      <c r="K8" s="31" t="n">
        <v>0</v>
      </c>
    </row>
    <row r="9" customFormat="false" ht="15" hidden="false" customHeight="false" outlineLevel="0" collapsed="false">
      <c r="A9" s="31" t="n">
        <v>708958</v>
      </c>
      <c r="B9" s="31" t="n">
        <v>916</v>
      </c>
      <c r="C9" s="31" t="n">
        <v>103952</v>
      </c>
      <c r="D9" s="31" t="s">
        <v>57</v>
      </c>
      <c r="E9" s="31" t="s">
        <v>64</v>
      </c>
      <c r="F9" s="31" t="n">
        <v>28</v>
      </c>
      <c r="G9" s="31" t="n">
        <v>9502</v>
      </c>
      <c r="H9" s="31" t="n">
        <v>3</v>
      </c>
      <c r="I9" s="32" t="n">
        <v>3.159999967</v>
      </c>
      <c r="J9" s="31" t="n">
        <v>1</v>
      </c>
      <c r="K9" s="31" t="n">
        <v>0</v>
      </c>
    </row>
    <row r="10" customFormat="false" ht="15" hidden="false" customHeight="false" outlineLevel="0" collapsed="false">
      <c r="A10" s="31" t="n">
        <v>709059</v>
      </c>
      <c r="B10" s="31" t="n">
        <v>916</v>
      </c>
      <c r="C10" s="31" t="n">
        <v>103968</v>
      </c>
      <c r="D10" s="31" t="s">
        <v>57</v>
      </c>
      <c r="E10" s="31" t="s">
        <v>64</v>
      </c>
      <c r="F10" s="31" t="n">
        <v>20</v>
      </c>
      <c r="G10" s="31" t="n">
        <v>14669</v>
      </c>
      <c r="H10" s="31" t="n">
        <v>7</v>
      </c>
      <c r="I10" s="32" t="n">
        <v>10.28000021</v>
      </c>
      <c r="J10" s="31" t="n">
        <v>1</v>
      </c>
      <c r="K10" s="31" t="n">
        <v>1</v>
      </c>
    </row>
    <row r="11" customFormat="false" ht="15" hidden="false" customHeight="false" outlineLevel="0" collapsed="false">
      <c r="A11" s="31" t="n">
        <v>709115</v>
      </c>
      <c r="B11" s="31" t="n">
        <v>916</v>
      </c>
      <c r="C11" s="31" t="n">
        <v>103978</v>
      </c>
      <c r="D11" s="31" t="s">
        <v>57</v>
      </c>
      <c r="E11" s="31" t="s">
        <v>64</v>
      </c>
      <c r="F11" s="31" t="n">
        <v>30</v>
      </c>
      <c r="G11" s="31" t="n">
        <v>2305</v>
      </c>
      <c r="H11" s="31" t="n">
        <v>1</v>
      </c>
      <c r="I11" s="32" t="n">
        <v>0.569999993</v>
      </c>
      <c r="J11" s="31" t="n">
        <v>1</v>
      </c>
      <c r="K11" s="31" t="n">
        <v>0</v>
      </c>
    </row>
    <row r="12" customFormat="false" ht="15" hidden="false" customHeight="false" outlineLevel="0" collapsed="false">
      <c r="A12" s="31" t="n">
        <v>709179</v>
      </c>
      <c r="B12" s="31" t="n">
        <v>916</v>
      </c>
      <c r="C12" s="31" t="n">
        <v>103988</v>
      </c>
      <c r="D12" s="31" t="s">
        <v>58</v>
      </c>
      <c r="E12" s="31" t="s">
        <v>64</v>
      </c>
      <c r="F12" s="31" t="n">
        <v>15</v>
      </c>
      <c r="G12" s="31" t="n">
        <v>4627</v>
      </c>
      <c r="H12" s="31" t="n">
        <v>1</v>
      </c>
      <c r="I12" s="32" t="n">
        <v>1.690000057</v>
      </c>
      <c r="J12" s="31" t="n">
        <v>1</v>
      </c>
      <c r="K12" s="31" t="n">
        <v>0</v>
      </c>
    </row>
    <row r="13" customFormat="false" ht="15" hidden="false" customHeight="false" outlineLevel="0" collapsed="false">
      <c r="A13" s="31" t="n">
        <v>709183</v>
      </c>
      <c r="B13" s="31" t="n">
        <v>916</v>
      </c>
      <c r="C13" s="31" t="n">
        <v>103989</v>
      </c>
      <c r="D13" s="31" t="s">
        <v>58</v>
      </c>
      <c r="E13" s="31" t="s">
        <v>64</v>
      </c>
      <c r="F13" s="31" t="n">
        <v>16</v>
      </c>
      <c r="G13" s="31" t="n">
        <v>21026</v>
      </c>
      <c r="H13" s="31" t="n">
        <v>4</v>
      </c>
      <c r="I13" s="32" t="n">
        <v>4.630000114</v>
      </c>
      <c r="J13" s="31" t="n">
        <v>2</v>
      </c>
      <c r="K13" s="31" t="n">
        <v>1</v>
      </c>
    </row>
    <row r="14" customFormat="false" ht="15" hidden="false" customHeight="false" outlineLevel="0" collapsed="false">
      <c r="A14" s="31" t="n">
        <v>709323</v>
      </c>
      <c r="B14" s="31" t="n">
        <v>916</v>
      </c>
      <c r="C14" s="31" t="n">
        <v>104012</v>
      </c>
      <c r="D14" s="31" t="s">
        <v>58</v>
      </c>
      <c r="E14" s="31" t="s">
        <v>64</v>
      </c>
      <c r="F14" s="31" t="n">
        <v>15</v>
      </c>
      <c r="G14" s="31" t="n">
        <v>7132</v>
      </c>
      <c r="H14" s="31" t="n">
        <v>2</v>
      </c>
      <c r="I14" s="32" t="n">
        <v>2.609999895</v>
      </c>
      <c r="J14" s="31" t="n">
        <v>1</v>
      </c>
      <c r="K14" s="31" t="n">
        <v>0</v>
      </c>
    </row>
    <row r="15" customFormat="false" ht="15" hidden="false" customHeight="false" outlineLevel="0" collapsed="false">
      <c r="A15" s="31" t="n">
        <v>709326</v>
      </c>
      <c r="B15" s="31" t="n">
        <v>916</v>
      </c>
      <c r="C15" s="31" t="n">
        <v>104013</v>
      </c>
      <c r="D15" s="31" t="s">
        <v>58</v>
      </c>
      <c r="E15" s="31" t="s">
        <v>64</v>
      </c>
      <c r="F15" s="31" t="n">
        <v>16</v>
      </c>
      <c r="G15" s="31" t="n">
        <v>12190</v>
      </c>
      <c r="H15" s="31" t="n">
        <v>2</v>
      </c>
      <c r="I15" s="32" t="n">
        <v>3.049999952</v>
      </c>
      <c r="J15" s="31" t="n">
        <v>1</v>
      </c>
      <c r="K15" s="31" t="n">
        <v>0</v>
      </c>
    </row>
    <row r="16" customFormat="false" ht="15" hidden="false" customHeight="false" outlineLevel="0" collapsed="false">
      <c r="A16" s="31" t="n">
        <v>709327</v>
      </c>
      <c r="B16" s="31" t="n">
        <v>916</v>
      </c>
      <c r="C16" s="31" t="n">
        <v>104013</v>
      </c>
      <c r="D16" s="31" t="s">
        <v>58</v>
      </c>
      <c r="E16" s="31" t="s">
        <v>64</v>
      </c>
      <c r="F16" s="31" t="n">
        <v>16</v>
      </c>
      <c r="G16" s="31" t="n">
        <v>12193</v>
      </c>
      <c r="H16" s="31" t="n">
        <v>2</v>
      </c>
      <c r="I16" s="32" t="n">
        <v>3.059999943</v>
      </c>
      <c r="J16" s="31" t="n">
        <v>1</v>
      </c>
      <c r="K16" s="31" t="n">
        <v>1</v>
      </c>
    </row>
    <row r="17" customFormat="false" ht="15" hidden="false" customHeight="false" outlineLevel="0" collapsed="false">
      <c r="A17" s="31" t="n">
        <v>709544</v>
      </c>
      <c r="B17" s="31" t="n">
        <v>916</v>
      </c>
      <c r="C17" s="31" t="n">
        <v>104049</v>
      </c>
      <c r="D17" s="31" t="s">
        <v>58</v>
      </c>
      <c r="E17" s="31" t="s">
        <v>64</v>
      </c>
      <c r="F17" s="31" t="n">
        <v>29</v>
      </c>
      <c r="G17" s="31" t="n">
        <v>7440</v>
      </c>
      <c r="H17" s="31" t="n">
        <v>2</v>
      </c>
      <c r="I17" s="32" t="n">
        <v>2.980000019</v>
      </c>
      <c r="J17" s="31" t="n">
        <v>1</v>
      </c>
      <c r="K17" s="31" t="n">
        <v>1</v>
      </c>
    </row>
    <row r="18" customFormat="false" ht="15" hidden="false" customHeight="false" outlineLevel="0" collapsed="false">
      <c r="A18" s="31" t="n">
        <v>709614</v>
      </c>
      <c r="B18" s="31" t="n">
        <v>916</v>
      </c>
      <c r="C18" s="31" t="n">
        <v>104061</v>
      </c>
      <c r="D18" s="31" t="s">
        <v>59</v>
      </c>
      <c r="E18" s="31" t="s">
        <v>64</v>
      </c>
      <c r="F18" s="31" t="n">
        <v>16</v>
      </c>
      <c r="G18" s="31" t="n">
        <v>19113</v>
      </c>
      <c r="H18" s="31" t="n">
        <v>4</v>
      </c>
      <c r="I18" s="32" t="n">
        <v>5.5200001</v>
      </c>
      <c r="J18" s="31" t="n">
        <v>1</v>
      </c>
      <c r="K18" s="31" t="n">
        <v>0</v>
      </c>
    </row>
    <row r="19" customFormat="false" ht="15" hidden="false" customHeight="false" outlineLevel="0" collapsed="false">
      <c r="A19" s="31" t="n">
        <v>709756</v>
      </c>
      <c r="B19" s="31" t="n">
        <v>916</v>
      </c>
      <c r="C19" s="31" t="n">
        <v>104085</v>
      </c>
      <c r="D19" s="31" t="s">
        <v>59</v>
      </c>
      <c r="E19" s="31" t="s">
        <v>64</v>
      </c>
      <c r="F19" s="31" t="n">
        <v>16</v>
      </c>
      <c r="G19" s="31" t="n">
        <v>10976</v>
      </c>
      <c r="H19" s="31" t="n">
        <v>2</v>
      </c>
      <c r="I19" s="32" t="n">
        <v>1.690000057</v>
      </c>
      <c r="J19" s="31" t="n">
        <v>1</v>
      </c>
      <c r="K19" s="31" t="n">
        <v>1</v>
      </c>
    </row>
    <row r="20" customFormat="false" ht="15" hidden="false" customHeight="false" outlineLevel="0" collapsed="false">
      <c r="A20" s="31" t="n">
        <v>709901</v>
      </c>
      <c r="B20" s="31" t="n">
        <v>916</v>
      </c>
      <c r="C20" s="31" t="n">
        <v>104109</v>
      </c>
      <c r="D20" s="31" t="s">
        <v>59</v>
      </c>
      <c r="E20" s="31" t="s">
        <v>64</v>
      </c>
      <c r="F20" s="31" t="n">
        <v>16</v>
      </c>
      <c r="G20" s="31" t="n">
        <v>23817</v>
      </c>
      <c r="H20" s="31" t="n">
        <v>7</v>
      </c>
      <c r="I20" s="32" t="n">
        <v>8.470000148</v>
      </c>
      <c r="J20" s="31" t="n">
        <v>1</v>
      </c>
      <c r="K20" s="31" t="n">
        <v>1</v>
      </c>
    </row>
    <row r="21" customFormat="false" ht="15" hidden="false" customHeight="false" outlineLevel="0" collapsed="false">
      <c r="A21" s="31" t="n">
        <v>710045</v>
      </c>
      <c r="B21" s="31" t="n">
        <v>916</v>
      </c>
      <c r="C21" s="31" t="n">
        <v>104133</v>
      </c>
      <c r="D21" s="31" t="s">
        <v>60</v>
      </c>
      <c r="E21" s="31" t="s">
        <v>64</v>
      </c>
      <c r="F21" s="31" t="n">
        <v>16</v>
      </c>
      <c r="G21" s="31" t="n">
        <v>47224</v>
      </c>
      <c r="H21" s="31" t="n">
        <v>12</v>
      </c>
      <c r="I21" s="32" t="n">
        <v>15.82000017</v>
      </c>
      <c r="J21" s="31" t="n">
        <v>1</v>
      </c>
      <c r="K21" s="31" t="n">
        <v>0</v>
      </c>
    </row>
    <row r="22" customFormat="false" ht="15" hidden="false" customHeight="false" outlineLevel="0" collapsed="false">
      <c r="A22" s="31" t="n">
        <v>710088</v>
      </c>
      <c r="B22" s="31" t="n">
        <v>916</v>
      </c>
      <c r="C22" s="31" t="n">
        <v>104140</v>
      </c>
      <c r="D22" s="31" t="s">
        <v>60</v>
      </c>
      <c r="E22" s="31" t="s">
        <v>64</v>
      </c>
      <c r="F22" s="31" t="n">
        <v>24</v>
      </c>
      <c r="G22" s="31" t="n">
        <v>2283</v>
      </c>
      <c r="H22" s="31" t="n">
        <v>1</v>
      </c>
      <c r="I22" s="32" t="n">
        <v>1.470000029</v>
      </c>
      <c r="J22" s="31" t="n">
        <v>1</v>
      </c>
      <c r="K22" s="31" t="n">
        <v>0</v>
      </c>
    </row>
    <row r="23" customFormat="false" ht="15" hidden="false" customHeight="false" outlineLevel="0" collapsed="false">
      <c r="A23" s="31" t="n">
        <v>710360</v>
      </c>
      <c r="B23" s="31" t="n">
        <v>916</v>
      </c>
      <c r="C23" s="31" t="n">
        <v>104185</v>
      </c>
      <c r="D23" s="31" t="s">
        <v>60</v>
      </c>
      <c r="E23" s="31" t="s">
        <v>64</v>
      </c>
      <c r="F23" s="31" t="n">
        <v>21</v>
      </c>
      <c r="G23" s="31" t="n">
        <v>2182</v>
      </c>
      <c r="H23" s="31" t="n">
        <v>1</v>
      </c>
      <c r="I23" s="32" t="n">
        <v>1.529999971</v>
      </c>
      <c r="J23" s="31" t="n">
        <v>1</v>
      </c>
      <c r="K23" s="31" t="n">
        <v>1</v>
      </c>
    </row>
    <row r="24" customFormat="false" ht="15" hidden="false" customHeight="false" outlineLevel="0" collapsed="false">
      <c r="A24" s="31" t="n">
        <v>710480</v>
      </c>
      <c r="B24" s="31" t="n">
        <v>916</v>
      </c>
      <c r="C24" s="31" t="n">
        <v>104205</v>
      </c>
      <c r="D24" s="31" t="s">
        <v>57</v>
      </c>
      <c r="E24" s="31" t="s">
        <v>63</v>
      </c>
      <c r="F24" s="31" t="n">
        <v>16</v>
      </c>
      <c r="G24" s="31" t="n">
        <v>57665</v>
      </c>
      <c r="H24" s="31" t="n">
        <v>14</v>
      </c>
      <c r="I24" s="32" t="n">
        <v>18.06999969</v>
      </c>
      <c r="J24" s="31" t="n">
        <v>1</v>
      </c>
      <c r="K24" s="31" t="n">
        <v>1</v>
      </c>
    </row>
    <row r="25" customFormat="false" ht="15" hidden="false" customHeight="false" outlineLevel="0" collapsed="false">
      <c r="A25" s="31" t="n">
        <v>710571</v>
      </c>
      <c r="B25" s="31" t="n">
        <v>916</v>
      </c>
      <c r="C25" s="31" t="n">
        <v>104220</v>
      </c>
      <c r="D25" s="31" t="s">
        <v>57</v>
      </c>
      <c r="E25" s="31" t="s">
        <v>63</v>
      </c>
      <c r="F25" s="31" t="n">
        <v>32</v>
      </c>
      <c r="G25" s="31" t="n">
        <v>3091</v>
      </c>
      <c r="H25" s="31" t="n">
        <v>1</v>
      </c>
      <c r="I25" s="32" t="n">
        <v>1.610000014</v>
      </c>
      <c r="J25" s="31" t="n">
        <v>1</v>
      </c>
      <c r="K25" s="31" t="n">
        <v>1</v>
      </c>
    </row>
    <row r="26" customFormat="false" ht="15" hidden="false" customHeight="false" outlineLevel="0" collapsed="false">
      <c r="A26" s="31" t="n">
        <v>710617</v>
      </c>
      <c r="B26" s="31" t="n">
        <v>916</v>
      </c>
      <c r="C26" s="31" t="n">
        <v>104228</v>
      </c>
      <c r="D26" s="31" t="s">
        <v>57</v>
      </c>
      <c r="E26" s="31" t="s">
        <v>63</v>
      </c>
      <c r="F26" s="31" t="n">
        <v>15</v>
      </c>
      <c r="G26" s="31" t="n">
        <v>5014</v>
      </c>
      <c r="H26" s="31" t="n">
        <v>1</v>
      </c>
      <c r="I26" s="32" t="n">
        <v>1.190000057</v>
      </c>
      <c r="J26" s="31" t="n">
        <v>1</v>
      </c>
      <c r="K26" s="31" t="n">
        <v>0</v>
      </c>
    </row>
    <row r="27" customFormat="false" ht="15" hidden="false" customHeight="false" outlineLevel="0" collapsed="false">
      <c r="A27" s="31" t="n">
        <v>710623</v>
      </c>
      <c r="B27" s="31" t="n">
        <v>916</v>
      </c>
      <c r="C27" s="31" t="n">
        <v>104229</v>
      </c>
      <c r="D27" s="31" t="s">
        <v>57</v>
      </c>
      <c r="E27" s="31" t="s">
        <v>63</v>
      </c>
      <c r="F27" s="31" t="n">
        <v>16</v>
      </c>
      <c r="G27" s="31" t="n">
        <v>38726</v>
      </c>
      <c r="H27" s="31" t="n">
        <v>7</v>
      </c>
      <c r="I27" s="32" t="n">
        <v>9.220000267</v>
      </c>
      <c r="J27" s="31" t="n">
        <v>1</v>
      </c>
      <c r="K27" s="31" t="n">
        <v>0</v>
      </c>
    </row>
    <row r="28" customFormat="false" ht="15" hidden="false" customHeight="false" outlineLevel="0" collapsed="false">
      <c r="A28" s="31" t="n">
        <v>710763</v>
      </c>
      <c r="B28" s="31" t="n">
        <v>916</v>
      </c>
      <c r="C28" s="31" t="n">
        <v>104252</v>
      </c>
      <c r="D28" s="31" t="s">
        <v>57</v>
      </c>
      <c r="E28" s="31" t="s">
        <v>63</v>
      </c>
      <c r="F28" s="31" t="n">
        <v>15</v>
      </c>
      <c r="G28" s="31" t="n">
        <v>5369</v>
      </c>
      <c r="H28" s="31" t="n">
        <v>1</v>
      </c>
      <c r="I28" s="32" t="n">
        <v>1.50999999</v>
      </c>
      <c r="J28" s="31" t="n">
        <v>1</v>
      </c>
      <c r="K28" s="31" t="n">
        <v>0</v>
      </c>
    </row>
    <row r="29" customFormat="false" ht="15" hidden="false" customHeight="false" outlineLevel="0" collapsed="false">
      <c r="A29" s="31" t="n">
        <v>710836</v>
      </c>
      <c r="B29" s="31" t="n">
        <v>916</v>
      </c>
      <c r="C29" s="31" t="n">
        <v>104265</v>
      </c>
      <c r="D29" s="31" t="s">
        <v>57</v>
      </c>
      <c r="E29" s="31" t="s">
        <v>63</v>
      </c>
      <c r="F29" s="31" t="n">
        <v>29</v>
      </c>
      <c r="G29" s="31" t="n">
        <v>22221</v>
      </c>
      <c r="H29" s="31" t="n">
        <v>7</v>
      </c>
      <c r="I29" s="32" t="n">
        <v>9.430000067</v>
      </c>
      <c r="J29" s="31" t="n">
        <v>1</v>
      </c>
      <c r="K29" s="31" t="n">
        <v>1</v>
      </c>
    </row>
    <row r="30" customFormat="false" ht="15" hidden="false" customHeight="false" outlineLevel="0" collapsed="false">
      <c r="A30" s="31" t="n">
        <v>710880</v>
      </c>
      <c r="B30" s="31" t="n">
        <v>916</v>
      </c>
      <c r="C30" s="31" t="n">
        <v>104272</v>
      </c>
      <c r="D30" s="31" t="s">
        <v>57</v>
      </c>
      <c r="E30" s="31" t="s">
        <v>63</v>
      </c>
      <c r="F30" s="31" t="n">
        <v>65</v>
      </c>
      <c r="G30" s="31" t="n">
        <v>13019</v>
      </c>
      <c r="H30" s="31" t="n">
        <v>5</v>
      </c>
      <c r="I30" s="32" t="n">
        <v>6.960000038</v>
      </c>
      <c r="J30" s="31" t="n">
        <v>1</v>
      </c>
      <c r="K30" s="31" t="n">
        <v>0</v>
      </c>
    </row>
    <row r="31" customFormat="false" ht="15" hidden="false" customHeight="false" outlineLevel="0" collapsed="false">
      <c r="A31" s="31" t="n">
        <v>710961</v>
      </c>
      <c r="B31" s="31" t="n">
        <v>916</v>
      </c>
      <c r="C31" s="31" t="n">
        <v>104285</v>
      </c>
      <c r="D31" s="31" t="s">
        <v>58</v>
      </c>
      <c r="E31" s="31" t="s">
        <v>63</v>
      </c>
      <c r="F31" s="31" t="n">
        <v>25</v>
      </c>
      <c r="G31" s="31" t="n">
        <v>2508</v>
      </c>
      <c r="H31" s="31" t="n">
        <v>1</v>
      </c>
      <c r="I31" s="32" t="n">
        <v>1.220000029</v>
      </c>
      <c r="J31" s="31" t="n">
        <v>1</v>
      </c>
      <c r="K31" s="31" t="n">
        <v>0</v>
      </c>
    </row>
    <row r="32" customFormat="false" ht="15" hidden="false" customHeight="false" outlineLevel="0" collapsed="false">
      <c r="A32" s="31" t="n">
        <v>710968</v>
      </c>
      <c r="B32" s="31" t="n">
        <v>916</v>
      </c>
      <c r="C32" s="31" t="n">
        <v>104287</v>
      </c>
      <c r="D32" s="31" t="s">
        <v>58</v>
      </c>
      <c r="E32" s="31" t="s">
        <v>63</v>
      </c>
      <c r="F32" s="31" t="n">
        <v>27</v>
      </c>
      <c r="G32" s="31" t="n">
        <v>5864</v>
      </c>
      <c r="H32" s="31" t="n">
        <v>2</v>
      </c>
      <c r="I32" s="32" t="n">
        <v>2.799999952</v>
      </c>
      <c r="J32" s="31" t="n">
        <v>1</v>
      </c>
      <c r="K32" s="31" t="n">
        <v>1</v>
      </c>
    </row>
    <row r="33" customFormat="false" ht="15" hidden="false" customHeight="false" outlineLevel="0" collapsed="false">
      <c r="A33" s="31" t="n">
        <v>711217</v>
      </c>
      <c r="B33" s="31" t="n">
        <v>916</v>
      </c>
      <c r="C33" s="31" t="n">
        <v>104328</v>
      </c>
      <c r="D33" s="31" t="s">
        <v>58</v>
      </c>
      <c r="E33" s="31" t="s">
        <v>63</v>
      </c>
      <c r="F33" s="31" t="n">
        <v>20</v>
      </c>
      <c r="G33" s="31" t="n">
        <v>2783</v>
      </c>
      <c r="H33" s="31" t="n">
        <v>1</v>
      </c>
      <c r="I33" s="32" t="n">
        <v>1.600000024</v>
      </c>
      <c r="J33" s="31" t="n">
        <v>1</v>
      </c>
      <c r="K33" s="31" t="n">
        <v>0</v>
      </c>
    </row>
    <row r="34" customFormat="false" ht="15" hidden="false" customHeight="false" outlineLevel="0" collapsed="false">
      <c r="A34" s="31" t="n">
        <v>711623</v>
      </c>
      <c r="B34" s="31" t="n">
        <v>916</v>
      </c>
      <c r="C34" s="31" t="n">
        <v>104396</v>
      </c>
      <c r="D34" s="31" t="s">
        <v>59</v>
      </c>
      <c r="E34" s="31" t="s">
        <v>63</v>
      </c>
      <c r="F34" s="31" t="n">
        <v>15</v>
      </c>
      <c r="G34" s="31" t="n">
        <v>3812</v>
      </c>
      <c r="H34" s="31" t="n">
        <v>1</v>
      </c>
      <c r="I34" s="32" t="n">
        <v>1.129999995</v>
      </c>
      <c r="J34" s="31" t="n">
        <v>2</v>
      </c>
      <c r="K34" s="31" t="n">
        <v>1</v>
      </c>
    </row>
    <row r="35" customFormat="false" ht="15" hidden="false" customHeight="false" outlineLevel="0" collapsed="false">
      <c r="A35" s="31" t="n">
        <v>711764</v>
      </c>
      <c r="B35" s="31" t="n">
        <v>916</v>
      </c>
      <c r="C35" s="31" t="n">
        <v>104419</v>
      </c>
      <c r="D35" s="31" t="s">
        <v>60</v>
      </c>
      <c r="E35" s="31" t="s">
        <v>63</v>
      </c>
      <c r="F35" s="31" t="n">
        <v>10</v>
      </c>
      <c r="G35" s="31" t="n">
        <v>11199</v>
      </c>
      <c r="H35" s="31" t="n">
        <v>4</v>
      </c>
      <c r="I35" s="32" t="n">
        <v>5.730000019</v>
      </c>
      <c r="J35" s="31" t="n">
        <v>1</v>
      </c>
      <c r="K35" s="31" t="n">
        <v>1</v>
      </c>
    </row>
    <row r="36" customFormat="false" ht="15" hidden="false" customHeight="false" outlineLevel="0" collapsed="false">
      <c r="A36" s="31" t="n">
        <v>711877</v>
      </c>
      <c r="B36" s="31" t="n">
        <v>916</v>
      </c>
      <c r="C36" s="31" t="n">
        <v>104438</v>
      </c>
      <c r="D36" s="31" t="s">
        <v>60</v>
      </c>
      <c r="E36" s="31" t="s">
        <v>63</v>
      </c>
      <c r="F36" s="31" t="n">
        <v>63</v>
      </c>
      <c r="G36" s="31" t="n">
        <v>17572</v>
      </c>
      <c r="H36" s="31" t="n">
        <v>7</v>
      </c>
      <c r="I36" s="32" t="n">
        <v>9.379999995</v>
      </c>
      <c r="J36" s="31" t="n">
        <v>1</v>
      </c>
      <c r="K36" s="31" t="n">
        <v>0</v>
      </c>
    </row>
    <row r="37" customFormat="false" ht="15" hidden="false" customHeight="false" outlineLevel="0" collapsed="false">
      <c r="A37" s="31" t="n">
        <v>734210</v>
      </c>
      <c r="B37" s="31" t="n">
        <v>936</v>
      </c>
      <c r="C37" s="31" t="n">
        <v>108654</v>
      </c>
      <c r="D37" s="31" t="s">
        <v>57</v>
      </c>
      <c r="E37" s="31" t="s">
        <v>64</v>
      </c>
      <c r="F37" s="31" t="n">
        <v>10</v>
      </c>
      <c r="G37" s="31" t="n">
        <v>13329</v>
      </c>
      <c r="H37" s="31" t="n">
        <v>4</v>
      </c>
      <c r="I37" s="32" t="n">
        <v>5.629999995</v>
      </c>
      <c r="J37" s="31" t="n">
        <v>1</v>
      </c>
      <c r="K37" s="31" t="n">
        <v>1</v>
      </c>
    </row>
    <row r="38" customFormat="false" ht="15" hidden="false" customHeight="false" outlineLevel="0" collapsed="false">
      <c r="A38" s="31" t="n">
        <v>734215</v>
      </c>
      <c r="B38" s="31" t="n">
        <v>936</v>
      </c>
      <c r="C38" s="31" t="n">
        <v>108655</v>
      </c>
      <c r="D38" s="31" t="s">
        <v>57</v>
      </c>
      <c r="E38" s="31" t="s">
        <v>64</v>
      </c>
      <c r="F38" s="31" t="n">
        <v>15</v>
      </c>
      <c r="G38" s="31" t="n">
        <v>13659</v>
      </c>
      <c r="H38" s="31" t="n">
        <v>3</v>
      </c>
      <c r="I38" s="32" t="n">
        <v>3.840000033</v>
      </c>
      <c r="J38" s="31" t="n">
        <v>1</v>
      </c>
      <c r="K38" s="31" t="n">
        <v>0</v>
      </c>
    </row>
    <row r="39" customFormat="false" ht="15" hidden="false" customHeight="false" outlineLevel="0" collapsed="false">
      <c r="A39" s="31" t="n">
        <v>734290</v>
      </c>
      <c r="B39" s="31" t="n">
        <v>936</v>
      </c>
      <c r="C39" s="31" t="n">
        <v>108668</v>
      </c>
      <c r="D39" s="31" t="s">
        <v>57</v>
      </c>
      <c r="E39" s="31" t="s">
        <v>64</v>
      </c>
      <c r="F39" s="31" t="n">
        <v>29</v>
      </c>
      <c r="G39" s="31" t="n">
        <v>5374</v>
      </c>
      <c r="H39" s="31" t="n">
        <v>1</v>
      </c>
      <c r="I39" s="32" t="n">
        <v>1.039999962</v>
      </c>
      <c r="J39" s="31" t="n">
        <v>4</v>
      </c>
      <c r="K39" s="31" t="n">
        <v>0</v>
      </c>
    </row>
    <row r="40" customFormat="false" ht="15" hidden="false" customHeight="false" outlineLevel="0" collapsed="false">
      <c r="A40" s="31" t="n">
        <v>734352</v>
      </c>
      <c r="B40" s="31" t="n">
        <v>936</v>
      </c>
      <c r="C40" s="31" t="n">
        <v>108678</v>
      </c>
      <c r="D40" s="31" t="s">
        <v>58</v>
      </c>
      <c r="E40" s="31" t="s">
        <v>64</v>
      </c>
      <c r="F40" s="31" t="n">
        <v>10</v>
      </c>
      <c r="G40" s="31" t="n">
        <v>4423</v>
      </c>
      <c r="H40" s="31" t="n">
        <v>1</v>
      </c>
      <c r="I40" s="32" t="n">
        <v>1.460000038</v>
      </c>
      <c r="J40" s="31" t="n">
        <v>1</v>
      </c>
      <c r="K40" s="31" t="n">
        <v>1</v>
      </c>
    </row>
    <row r="41" customFormat="false" ht="15" hidden="false" customHeight="false" outlineLevel="0" collapsed="false">
      <c r="A41" s="31" t="n">
        <v>734361</v>
      </c>
      <c r="B41" s="31" t="n">
        <v>936</v>
      </c>
      <c r="C41" s="31" t="n">
        <v>108680</v>
      </c>
      <c r="D41" s="31" t="s">
        <v>58</v>
      </c>
      <c r="E41" s="31" t="s">
        <v>64</v>
      </c>
      <c r="F41" s="31" t="n">
        <v>16</v>
      </c>
      <c r="G41" s="31" t="n">
        <v>12382</v>
      </c>
      <c r="H41" s="31" t="n">
        <v>2</v>
      </c>
      <c r="I41" s="32" t="n">
        <v>2.839999914</v>
      </c>
      <c r="J41" s="31" t="n">
        <v>1</v>
      </c>
      <c r="K41" s="31" t="n">
        <v>1</v>
      </c>
    </row>
    <row r="42" customFormat="false" ht="15" hidden="false" customHeight="false" outlineLevel="0" collapsed="false">
      <c r="A42" s="31" t="n">
        <v>734381</v>
      </c>
      <c r="B42" s="31" t="n">
        <v>936</v>
      </c>
      <c r="C42" s="31" t="n">
        <v>108683</v>
      </c>
      <c r="D42" s="31" t="s">
        <v>58</v>
      </c>
      <c r="E42" s="31" t="s">
        <v>64</v>
      </c>
      <c r="F42" s="31" t="n">
        <v>20</v>
      </c>
      <c r="G42" s="31" t="n">
        <v>2938</v>
      </c>
      <c r="H42" s="31" t="n">
        <v>1</v>
      </c>
      <c r="I42" s="32" t="n">
        <v>1.350000024</v>
      </c>
      <c r="J42" s="31" t="n">
        <v>1</v>
      </c>
      <c r="K42" s="31" t="n">
        <v>1</v>
      </c>
    </row>
    <row r="43" customFormat="false" ht="15" hidden="false" customHeight="false" outlineLevel="0" collapsed="false">
      <c r="A43" s="31" t="n">
        <v>734421</v>
      </c>
      <c r="B43" s="31" t="n">
        <v>936</v>
      </c>
      <c r="C43" s="31" t="n">
        <v>108690</v>
      </c>
      <c r="D43" s="31" t="s">
        <v>58</v>
      </c>
      <c r="E43" s="31" t="s">
        <v>64</v>
      </c>
      <c r="F43" s="31" t="n">
        <v>27</v>
      </c>
      <c r="G43" s="31" t="n">
        <v>10332</v>
      </c>
      <c r="H43" s="31" t="n">
        <v>4</v>
      </c>
      <c r="I43" s="32" t="n">
        <v>5.75</v>
      </c>
      <c r="J43" s="31" t="n">
        <v>1</v>
      </c>
      <c r="K43" s="31" t="n">
        <v>0</v>
      </c>
    </row>
    <row r="44" customFormat="false" ht="15" hidden="false" customHeight="false" outlineLevel="0" collapsed="false">
      <c r="A44" s="31" t="n">
        <v>734427</v>
      </c>
      <c r="B44" s="31" t="n">
        <v>936</v>
      </c>
      <c r="C44" s="31" t="n">
        <v>108691</v>
      </c>
      <c r="D44" s="31" t="s">
        <v>58</v>
      </c>
      <c r="E44" s="31" t="s">
        <v>64</v>
      </c>
      <c r="F44" s="31" t="n">
        <v>28</v>
      </c>
      <c r="G44" s="31" t="n">
        <v>8259</v>
      </c>
      <c r="H44" s="31" t="n">
        <v>3</v>
      </c>
      <c r="I44" s="32" t="n">
        <v>3.980000019</v>
      </c>
      <c r="J44" s="31" t="n">
        <v>1</v>
      </c>
      <c r="K44" s="31" t="n">
        <v>0</v>
      </c>
    </row>
    <row r="45" customFormat="false" ht="15" hidden="false" customHeight="false" outlineLevel="0" collapsed="false">
      <c r="A45" s="31" t="n">
        <v>734433</v>
      </c>
      <c r="B45" s="31" t="n">
        <v>936</v>
      </c>
      <c r="C45" s="31" t="n">
        <v>108692</v>
      </c>
      <c r="D45" s="31" t="s">
        <v>58</v>
      </c>
      <c r="E45" s="31" t="s">
        <v>64</v>
      </c>
      <c r="F45" s="31" t="n">
        <v>29</v>
      </c>
      <c r="G45" s="31" t="n">
        <v>12158</v>
      </c>
      <c r="H45" s="31" t="n">
        <v>3</v>
      </c>
      <c r="I45" s="32" t="n">
        <v>4.449999928</v>
      </c>
      <c r="J45" s="31" t="n">
        <v>1</v>
      </c>
      <c r="K45" s="31" t="n">
        <v>0</v>
      </c>
    </row>
    <row r="46" customFormat="false" ht="15" hidden="false" customHeight="false" outlineLevel="0" collapsed="false">
      <c r="A46" s="31" t="n">
        <v>734582</v>
      </c>
      <c r="B46" s="31" t="n">
        <v>936</v>
      </c>
      <c r="C46" s="31" t="n">
        <v>108716</v>
      </c>
      <c r="D46" s="31" t="s">
        <v>59</v>
      </c>
      <c r="E46" s="31" t="s">
        <v>64</v>
      </c>
      <c r="F46" s="31" t="n">
        <v>29</v>
      </c>
      <c r="G46" s="31" t="n">
        <v>7709</v>
      </c>
      <c r="H46" s="31" t="n">
        <v>2</v>
      </c>
      <c r="I46" s="32" t="n">
        <v>1.320000052</v>
      </c>
      <c r="J46" s="31" t="n">
        <v>2</v>
      </c>
      <c r="K46" s="31" t="n">
        <v>0</v>
      </c>
    </row>
    <row r="47" customFormat="false" ht="15" hidden="false" customHeight="false" outlineLevel="0" collapsed="false">
      <c r="A47" s="31" t="n">
        <v>734726</v>
      </c>
      <c r="B47" s="31" t="n">
        <v>936</v>
      </c>
      <c r="C47" s="31" t="n">
        <v>108740</v>
      </c>
      <c r="D47" s="31" t="s">
        <v>60</v>
      </c>
      <c r="E47" s="31" t="s">
        <v>64</v>
      </c>
      <c r="F47" s="31" t="n">
        <v>29</v>
      </c>
      <c r="G47" s="31" t="n">
        <v>10466</v>
      </c>
      <c r="H47" s="31" t="n">
        <v>3</v>
      </c>
      <c r="I47" s="32" t="n">
        <v>4.090000033</v>
      </c>
      <c r="J47" s="31" t="n">
        <v>1</v>
      </c>
      <c r="K47" s="31" t="n">
        <v>0</v>
      </c>
    </row>
    <row r="48" customFormat="false" ht="15" hidden="false" customHeight="false" outlineLevel="0" collapsed="false">
      <c r="A48" s="31" t="n">
        <v>734785</v>
      </c>
      <c r="B48" s="31" t="n">
        <v>936</v>
      </c>
      <c r="C48" s="31" t="n">
        <v>108750</v>
      </c>
      <c r="D48" s="31" t="s">
        <v>57</v>
      </c>
      <c r="E48" s="31" t="s">
        <v>63</v>
      </c>
      <c r="F48" s="31" t="n">
        <v>10</v>
      </c>
      <c r="G48" s="31" t="n">
        <v>5576</v>
      </c>
      <c r="H48" s="31" t="n">
        <v>1</v>
      </c>
      <c r="I48" s="32" t="n">
        <v>1.529999971</v>
      </c>
      <c r="J48" s="31" t="n">
        <v>1</v>
      </c>
      <c r="K48" s="31" t="n">
        <v>1</v>
      </c>
    </row>
    <row r="49" customFormat="false" ht="15" hidden="false" customHeight="false" outlineLevel="0" collapsed="false">
      <c r="A49" s="31" t="n">
        <v>734796</v>
      </c>
      <c r="B49" s="31" t="n">
        <v>936</v>
      </c>
      <c r="C49" s="31" t="n">
        <v>108752</v>
      </c>
      <c r="D49" s="31" t="s">
        <v>57</v>
      </c>
      <c r="E49" s="31" t="s">
        <v>63</v>
      </c>
      <c r="F49" s="31" t="n">
        <v>16</v>
      </c>
      <c r="G49" s="31" t="n">
        <v>39337</v>
      </c>
      <c r="H49" s="31" t="n">
        <v>7</v>
      </c>
      <c r="I49" s="32" t="n">
        <v>10.03000009</v>
      </c>
      <c r="J49" s="31" t="n">
        <v>1</v>
      </c>
      <c r="K49" s="31" t="n">
        <v>1</v>
      </c>
    </row>
    <row r="50" customFormat="false" ht="15" hidden="false" customHeight="false" outlineLevel="0" collapsed="false">
      <c r="A50" s="31" t="n">
        <v>734852</v>
      </c>
      <c r="B50" s="31" t="n">
        <v>936</v>
      </c>
      <c r="C50" s="31" t="n">
        <v>108761</v>
      </c>
      <c r="D50" s="31" t="s">
        <v>57</v>
      </c>
      <c r="E50" s="31" t="s">
        <v>63</v>
      </c>
      <c r="F50" s="31" t="n">
        <v>26</v>
      </c>
      <c r="G50" s="31" t="n">
        <v>13479</v>
      </c>
      <c r="H50" s="31" t="n">
        <v>3</v>
      </c>
      <c r="I50" s="32" t="n">
        <v>4.25</v>
      </c>
      <c r="J50" s="31" t="n">
        <v>1</v>
      </c>
      <c r="K50" s="31" t="n">
        <v>0</v>
      </c>
    </row>
    <row r="51" customFormat="false" ht="15" hidden="false" customHeight="false" outlineLevel="0" collapsed="false">
      <c r="A51" s="31" t="n">
        <v>734854</v>
      </c>
      <c r="B51" s="31" t="n">
        <v>936</v>
      </c>
      <c r="C51" s="31" t="n">
        <v>108762</v>
      </c>
      <c r="D51" s="31" t="s">
        <v>57</v>
      </c>
      <c r="E51" s="31" t="s">
        <v>63</v>
      </c>
      <c r="F51" s="31" t="n">
        <v>27</v>
      </c>
      <c r="G51" s="31" t="n">
        <v>57022</v>
      </c>
      <c r="H51" s="31" t="n">
        <v>13</v>
      </c>
      <c r="I51" s="32" t="n">
        <v>20.29000032</v>
      </c>
      <c r="J51" s="31" t="n">
        <v>3</v>
      </c>
      <c r="K51" s="31" t="n">
        <v>3</v>
      </c>
    </row>
    <row r="52" customFormat="false" ht="15" hidden="false" customHeight="false" outlineLevel="0" collapsed="false">
      <c r="A52" s="31" t="n">
        <v>734856</v>
      </c>
      <c r="B52" s="31" t="n">
        <v>936</v>
      </c>
      <c r="C52" s="31" t="n">
        <v>108762</v>
      </c>
      <c r="D52" s="31" t="s">
        <v>57</v>
      </c>
      <c r="E52" s="31" t="s">
        <v>63</v>
      </c>
      <c r="F52" s="31" t="n">
        <v>27</v>
      </c>
      <c r="G52" s="31" t="n">
        <v>5453</v>
      </c>
      <c r="H52" s="31" t="n">
        <v>1</v>
      </c>
      <c r="I52" s="32" t="n">
        <v>1.389999986</v>
      </c>
      <c r="J52" s="31" t="n">
        <v>1</v>
      </c>
      <c r="K52" s="31" t="n">
        <v>1</v>
      </c>
    </row>
    <row r="53" customFormat="false" ht="15" hidden="false" customHeight="false" outlineLevel="0" collapsed="false">
      <c r="A53" s="31" t="n">
        <v>734866</v>
      </c>
      <c r="B53" s="31" t="n">
        <v>936</v>
      </c>
      <c r="C53" s="31" t="n">
        <v>108764</v>
      </c>
      <c r="D53" s="31" t="s">
        <v>57</v>
      </c>
      <c r="E53" s="31" t="s">
        <v>63</v>
      </c>
      <c r="F53" s="31" t="n">
        <v>29</v>
      </c>
      <c r="G53" s="31" t="n">
        <v>11803</v>
      </c>
      <c r="H53" s="31" t="n">
        <v>3</v>
      </c>
      <c r="I53" s="32" t="n">
        <v>4.440000057</v>
      </c>
      <c r="J53" s="31" t="n">
        <v>1</v>
      </c>
      <c r="K53" s="31" t="n">
        <v>0</v>
      </c>
    </row>
    <row r="54" customFormat="false" ht="15" hidden="false" customHeight="false" outlineLevel="0" collapsed="false">
      <c r="A54" s="31" t="n">
        <v>734881</v>
      </c>
      <c r="B54" s="31" t="n">
        <v>936</v>
      </c>
      <c r="C54" s="31" t="n">
        <v>108766</v>
      </c>
      <c r="D54" s="31" t="s">
        <v>57</v>
      </c>
      <c r="E54" s="31" t="s">
        <v>63</v>
      </c>
      <c r="F54" s="31" t="n">
        <v>31</v>
      </c>
      <c r="G54" s="31" t="n">
        <v>4259</v>
      </c>
      <c r="H54" s="31" t="n">
        <v>1</v>
      </c>
      <c r="I54" s="32" t="n">
        <v>1.570000052</v>
      </c>
      <c r="J54" s="31" t="n">
        <v>1</v>
      </c>
      <c r="K54" s="31" t="n">
        <v>1</v>
      </c>
    </row>
    <row r="55" customFormat="false" ht="15" hidden="false" customHeight="false" outlineLevel="0" collapsed="false">
      <c r="A55" s="31" t="n">
        <v>734903</v>
      </c>
      <c r="B55" s="31" t="n">
        <v>936</v>
      </c>
      <c r="C55" s="31" t="n">
        <v>108770</v>
      </c>
      <c r="D55" s="31" t="s">
        <v>57</v>
      </c>
      <c r="E55" s="31" t="s">
        <v>63</v>
      </c>
      <c r="F55" s="31" t="n">
        <v>64</v>
      </c>
      <c r="G55" s="31" t="n">
        <v>5323</v>
      </c>
      <c r="H55" s="31" t="n">
        <v>1</v>
      </c>
      <c r="I55" s="32" t="n">
        <v>1.289999962</v>
      </c>
      <c r="J55" s="31" t="n">
        <v>1</v>
      </c>
      <c r="K55" s="31" t="n">
        <v>1</v>
      </c>
    </row>
    <row r="56" customFormat="false" ht="15" hidden="false" customHeight="false" outlineLevel="0" collapsed="false">
      <c r="A56" s="31" t="n">
        <v>734925</v>
      </c>
      <c r="B56" s="31" t="n">
        <v>936</v>
      </c>
      <c r="C56" s="31" t="n">
        <v>108774</v>
      </c>
      <c r="D56" s="31" t="s">
        <v>58</v>
      </c>
      <c r="E56" s="31" t="s">
        <v>63</v>
      </c>
      <c r="F56" s="31" t="n">
        <v>10</v>
      </c>
      <c r="G56" s="31" t="n">
        <v>5024</v>
      </c>
      <c r="H56" s="31" t="n">
        <v>1</v>
      </c>
      <c r="I56" s="32" t="n">
        <v>1.409999967</v>
      </c>
      <c r="J56" s="31" t="n">
        <v>1</v>
      </c>
      <c r="K56" s="31" t="n">
        <v>1</v>
      </c>
    </row>
    <row r="57" customFormat="false" ht="15" hidden="false" customHeight="false" outlineLevel="0" collapsed="false">
      <c r="A57" s="31" t="n">
        <v>734939</v>
      </c>
      <c r="B57" s="31" t="n">
        <v>936</v>
      </c>
      <c r="C57" s="31" t="n">
        <v>108776</v>
      </c>
      <c r="D57" s="31" t="s">
        <v>58</v>
      </c>
      <c r="E57" s="31" t="s">
        <v>63</v>
      </c>
      <c r="F57" s="31" t="n">
        <v>16</v>
      </c>
      <c r="G57" s="31" t="n">
        <v>104648</v>
      </c>
      <c r="H57" s="31" t="n">
        <v>24</v>
      </c>
      <c r="I57" s="32" t="n">
        <v>33.33000004</v>
      </c>
      <c r="J57" s="31" t="n">
        <v>4</v>
      </c>
      <c r="K57" s="31" t="n">
        <v>2</v>
      </c>
    </row>
    <row r="58" customFormat="false" ht="15" hidden="false" customHeight="false" outlineLevel="0" collapsed="false">
      <c r="A58" s="31" t="n">
        <v>734968</v>
      </c>
      <c r="B58" s="31" t="n">
        <v>936</v>
      </c>
      <c r="C58" s="31" t="n">
        <v>108781</v>
      </c>
      <c r="D58" s="31" t="s">
        <v>58</v>
      </c>
      <c r="E58" s="31" t="s">
        <v>63</v>
      </c>
      <c r="F58" s="31" t="n">
        <v>22</v>
      </c>
      <c r="G58" s="31" t="n">
        <v>8504</v>
      </c>
      <c r="H58" s="31" t="n">
        <v>3</v>
      </c>
      <c r="I58" s="32" t="n">
        <v>3.340000093</v>
      </c>
      <c r="J58" s="31" t="n">
        <v>1</v>
      </c>
      <c r="K58" s="31" t="n">
        <v>1</v>
      </c>
    </row>
    <row r="59" customFormat="false" ht="15" hidden="false" customHeight="false" outlineLevel="0" collapsed="false">
      <c r="A59" s="31" t="n">
        <v>734999</v>
      </c>
      <c r="B59" s="31" t="n">
        <v>936</v>
      </c>
      <c r="C59" s="31" t="n">
        <v>108786</v>
      </c>
      <c r="D59" s="31" t="s">
        <v>58</v>
      </c>
      <c r="E59" s="31" t="s">
        <v>63</v>
      </c>
      <c r="F59" s="31" t="n">
        <v>27</v>
      </c>
      <c r="G59" s="31" t="n">
        <v>20277</v>
      </c>
      <c r="H59" s="31" t="n">
        <v>6</v>
      </c>
      <c r="I59" s="32" t="n">
        <v>8.050000072</v>
      </c>
      <c r="J59" s="31" t="n">
        <v>1</v>
      </c>
      <c r="K59" s="31" t="n">
        <v>0</v>
      </c>
    </row>
    <row r="60" customFormat="false" ht="15" hidden="false" customHeight="false" outlineLevel="0" collapsed="false">
      <c r="A60" s="31" t="n">
        <v>735014</v>
      </c>
      <c r="B60" s="31" t="n">
        <v>936</v>
      </c>
      <c r="C60" s="31" t="n">
        <v>108788</v>
      </c>
      <c r="D60" s="31" t="s">
        <v>58</v>
      </c>
      <c r="E60" s="31" t="s">
        <v>63</v>
      </c>
      <c r="F60" s="31" t="n">
        <v>29</v>
      </c>
      <c r="G60" s="31" t="n">
        <v>12403</v>
      </c>
      <c r="H60" s="31" t="n">
        <v>4</v>
      </c>
      <c r="I60" s="32" t="n">
        <v>5.210000038</v>
      </c>
      <c r="J60" s="31" t="n">
        <v>1</v>
      </c>
      <c r="K60" s="31" t="n">
        <v>1</v>
      </c>
    </row>
    <row r="61" customFormat="false" ht="15" hidden="false" customHeight="false" outlineLevel="0" collapsed="false">
      <c r="A61" s="31" t="n">
        <v>735140</v>
      </c>
      <c r="B61" s="31" t="n">
        <v>936</v>
      </c>
      <c r="C61" s="31" t="n">
        <v>108809</v>
      </c>
      <c r="D61" s="31" t="s">
        <v>59</v>
      </c>
      <c r="E61" s="31" t="s">
        <v>63</v>
      </c>
      <c r="F61" s="31" t="n">
        <v>26</v>
      </c>
      <c r="G61" s="31" t="n">
        <v>6907</v>
      </c>
      <c r="H61" s="31" t="n">
        <v>2</v>
      </c>
      <c r="I61" s="32" t="n">
        <v>2.349999964</v>
      </c>
      <c r="J61" s="31" t="n">
        <v>1</v>
      </c>
      <c r="K61" s="31" t="n">
        <v>0</v>
      </c>
    </row>
    <row r="62" customFormat="false" ht="15" hidden="false" customHeight="false" outlineLevel="0" collapsed="false">
      <c r="A62" s="31" t="n">
        <v>735143</v>
      </c>
      <c r="B62" s="31" t="n">
        <v>936</v>
      </c>
      <c r="C62" s="31" t="n">
        <v>108810</v>
      </c>
      <c r="D62" s="31" t="s">
        <v>59</v>
      </c>
      <c r="E62" s="31" t="s">
        <v>63</v>
      </c>
      <c r="F62" s="31" t="n">
        <v>27</v>
      </c>
      <c r="G62" s="31" t="n">
        <v>39035</v>
      </c>
      <c r="H62" s="31" t="n">
        <v>13</v>
      </c>
      <c r="I62" s="32" t="n">
        <v>19.32999957</v>
      </c>
      <c r="J62" s="31" t="n">
        <v>1</v>
      </c>
      <c r="K62" s="31" t="n">
        <v>0</v>
      </c>
    </row>
    <row r="63" customFormat="false" ht="15" hidden="false" customHeight="false" outlineLevel="0" collapsed="false">
      <c r="A63" s="31" t="n">
        <v>735184</v>
      </c>
      <c r="B63" s="31" t="n">
        <v>936</v>
      </c>
      <c r="C63" s="31" t="n">
        <v>108817</v>
      </c>
      <c r="D63" s="31" t="s">
        <v>59</v>
      </c>
      <c r="E63" s="31" t="s">
        <v>63</v>
      </c>
      <c r="F63" s="31" t="n">
        <v>63</v>
      </c>
      <c r="G63" s="31" t="n">
        <v>4412</v>
      </c>
      <c r="H63" s="31" t="n">
        <v>1</v>
      </c>
      <c r="I63" s="32" t="n">
        <v>1.450000048</v>
      </c>
      <c r="J63" s="31" t="n">
        <v>1</v>
      </c>
      <c r="K63" s="31" t="n">
        <v>0</v>
      </c>
    </row>
    <row r="64" customFormat="false" ht="15" hidden="false" customHeight="false" outlineLevel="0" collapsed="false">
      <c r="A64" s="31" t="n">
        <v>735189</v>
      </c>
      <c r="B64" s="31" t="n">
        <v>936</v>
      </c>
      <c r="C64" s="31" t="n">
        <v>108818</v>
      </c>
      <c r="D64" s="31" t="s">
        <v>59</v>
      </c>
      <c r="E64" s="31" t="s">
        <v>63</v>
      </c>
      <c r="F64" s="31" t="n">
        <v>64</v>
      </c>
      <c r="G64" s="31" t="n">
        <v>9965</v>
      </c>
      <c r="H64" s="31" t="n">
        <v>3</v>
      </c>
      <c r="I64" s="32" t="n">
        <v>4.050000072</v>
      </c>
      <c r="J64" s="31" t="n">
        <v>1</v>
      </c>
      <c r="K64" s="31" t="n">
        <v>0</v>
      </c>
    </row>
    <row r="65" customFormat="false" ht="15" hidden="false" customHeight="false" outlineLevel="0" collapsed="false">
      <c r="A65" s="31" t="n">
        <v>735213</v>
      </c>
      <c r="B65" s="31" t="n">
        <v>936</v>
      </c>
      <c r="C65" s="31" t="n">
        <v>108822</v>
      </c>
      <c r="D65" s="31" t="s">
        <v>60</v>
      </c>
      <c r="E65" s="31" t="s">
        <v>63</v>
      </c>
      <c r="F65" s="31" t="n">
        <v>10</v>
      </c>
      <c r="G65" s="31" t="n">
        <v>73634</v>
      </c>
      <c r="H65" s="31" t="n">
        <v>23</v>
      </c>
      <c r="I65" s="32" t="n">
        <v>32.97999978</v>
      </c>
      <c r="J65" s="31" t="n">
        <v>1</v>
      </c>
      <c r="K65" s="31" t="n">
        <v>0</v>
      </c>
    </row>
    <row r="66" customFormat="false" ht="15" hidden="false" customHeight="false" outlineLevel="0" collapsed="false">
      <c r="A66" s="31" t="n">
        <v>735220</v>
      </c>
      <c r="B66" s="31" t="n">
        <v>936</v>
      </c>
      <c r="C66" s="31" t="n">
        <v>108823</v>
      </c>
      <c r="D66" s="31" t="s">
        <v>60</v>
      </c>
      <c r="E66" s="31" t="s">
        <v>63</v>
      </c>
      <c r="F66" s="31" t="n">
        <v>15</v>
      </c>
      <c r="G66" s="31" t="n">
        <v>69708</v>
      </c>
      <c r="H66" s="31" t="n">
        <v>20</v>
      </c>
      <c r="I66" s="32" t="n">
        <v>31.28999949</v>
      </c>
      <c r="J66" s="31" t="n">
        <v>1</v>
      </c>
      <c r="K66" s="31" t="n">
        <v>0</v>
      </c>
    </row>
    <row r="67" customFormat="false" ht="15" hidden="false" customHeight="false" outlineLevel="0" collapsed="false">
      <c r="A67" s="31" t="n">
        <v>735247</v>
      </c>
      <c r="B67" s="31" t="n">
        <v>936</v>
      </c>
      <c r="C67" s="31" t="n">
        <v>108827</v>
      </c>
      <c r="D67" s="31" t="s">
        <v>60</v>
      </c>
      <c r="E67" s="31" t="s">
        <v>63</v>
      </c>
      <c r="F67" s="31" t="n">
        <v>20</v>
      </c>
      <c r="G67" s="31" t="n">
        <v>14257</v>
      </c>
      <c r="H67" s="31" t="n">
        <v>6</v>
      </c>
      <c r="I67" s="32" t="n">
        <v>8.789999962</v>
      </c>
      <c r="J67" s="31" t="n">
        <v>1</v>
      </c>
      <c r="K67" s="31" t="n">
        <v>0</v>
      </c>
    </row>
    <row r="68" customFormat="false" ht="15" hidden="false" customHeight="false" outlineLevel="0" collapsed="false">
      <c r="A68" s="31" t="n">
        <v>735289</v>
      </c>
      <c r="B68" s="31" t="n">
        <v>936</v>
      </c>
      <c r="C68" s="31" t="n">
        <v>108834</v>
      </c>
      <c r="D68" s="31" t="s">
        <v>60</v>
      </c>
      <c r="E68" s="31" t="s">
        <v>63</v>
      </c>
      <c r="F68" s="31" t="n">
        <v>27</v>
      </c>
      <c r="G68" s="31" t="n">
        <v>20362</v>
      </c>
      <c r="H68" s="31" t="n">
        <v>5</v>
      </c>
      <c r="I68" s="32" t="n">
        <v>9.119999886</v>
      </c>
      <c r="J68" s="31" t="n">
        <v>1</v>
      </c>
      <c r="K68" s="31" t="n">
        <v>1</v>
      </c>
    </row>
    <row r="69" customFormat="false" ht="15" hidden="false" customHeight="false" outlineLevel="0" collapsed="false">
      <c r="A69" s="31" t="n">
        <v>735290</v>
      </c>
      <c r="B69" s="31" t="n">
        <v>936</v>
      </c>
      <c r="C69" s="31" t="n">
        <v>108834</v>
      </c>
      <c r="D69" s="31" t="s">
        <v>60</v>
      </c>
      <c r="E69" s="31" t="s">
        <v>63</v>
      </c>
      <c r="F69" s="31" t="n">
        <v>27</v>
      </c>
      <c r="G69" s="31" t="n">
        <v>12215</v>
      </c>
      <c r="H69" s="31" t="n">
        <v>4</v>
      </c>
      <c r="I69" s="32" t="n">
        <v>6.26000011</v>
      </c>
      <c r="J69" s="31" t="n">
        <v>1</v>
      </c>
      <c r="K69" s="31" t="n">
        <v>0</v>
      </c>
    </row>
    <row r="70" customFormat="false" ht="15" hidden="false" customHeight="false" outlineLevel="0" collapsed="false">
      <c r="A70" s="31" t="n">
        <v>735298</v>
      </c>
      <c r="B70" s="31" t="n">
        <v>936</v>
      </c>
      <c r="C70" s="31" t="n">
        <v>108836</v>
      </c>
      <c r="D70" s="31" t="s">
        <v>60</v>
      </c>
      <c r="E70" s="31" t="s">
        <v>63</v>
      </c>
      <c r="F70" s="31" t="n">
        <v>29</v>
      </c>
      <c r="G70" s="31" t="n">
        <v>85412</v>
      </c>
      <c r="H70" s="31" t="n">
        <v>28</v>
      </c>
      <c r="I70" s="32" t="n">
        <v>38.63999999</v>
      </c>
      <c r="J70" s="31" t="n">
        <v>2</v>
      </c>
      <c r="K70" s="31" t="n">
        <v>1</v>
      </c>
    </row>
    <row r="71" customFormat="false" ht="15" hidden="false" customHeight="false" outlineLevel="0" collapsed="false">
      <c r="A71" s="31" t="n">
        <v>736869</v>
      </c>
      <c r="B71" s="31" t="n">
        <v>936</v>
      </c>
      <c r="C71" s="31" t="n">
        <v>109448</v>
      </c>
      <c r="D71" s="31" t="s">
        <v>57</v>
      </c>
      <c r="E71" s="31" t="s">
        <v>64</v>
      </c>
      <c r="F71" s="31" t="n">
        <v>2</v>
      </c>
      <c r="G71" s="31" t="n">
        <v>2338</v>
      </c>
      <c r="H71" s="31" t="n">
        <v>1</v>
      </c>
      <c r="I71" s="32" t="n">
        <v>0.239999995</v>
      </c>
      <c r="J71" s="31" t="n">
        <v>1</v>
      </c>
      <c r="K71" s="31" t="n">
        <v>0</v>
      </c>
    </row>
    <row r="72" customFormat="false" ht="15" hidden="false" customHeight="false" outlineLevel="0" collapsed="false">
      <c r="A72" s="31" t="n">
        <v>736988</v>
      </c>
      <c r="B72" s="31" t="n">
        <v>936</v>
      </c>
      <c r="C72" s="31" t="n">
        <v>109472</v>
      </c>
      <c r="D72" s="31" t="s">
        <v>57</v>
      </c>
      <c r="E72" s="31" t="s">
        <v>64</v>
      </c>
      <c r="F72" s="31" t="n">
        <v>28</v>
      </c>
      <c r="G72" s="31" t="n">
        <v>3891</v>
      </c>
      <c r="H72" s="31" t="n">
        <v>1</v>
      </c>
      <c r="I72" s="32" t="n">
        <v>1.090000033</v>
      </c>
      <c r="J72" s="31" t="n">
        <v>1</v>
      </c>
      <c r="K72" s="31" t="n">
        <v>0</v>
      </c>
    </row>
    <row r="73" customFormat="false" ht="15" hidden="false" customHeight="false" outlineLevel="0" collapsed="false">
      <c r="A73" s="31" t="n">
        <v>737130</v>
      </c>
      <c r="B73" s="31" t="n">
        <v>936</v>
      </c>
      <c r="C73" s="31" t="n">
        <v>109507</v>
      </c>
      <c r="D73" s="31" t="s">
        <v>58</v>
      </c>
      <c r="E73" s="31" t="s">
        <v>64</v>
      </c>
      <c r="F73" s="31" t="n">
        <v>16</v>
      </c>
      <c r="G73" s="31" t="n">
        <v>11199</v>
      </c>
      <c r="H73" s="31" t="n">
        <v>2</v>
      </c>
      <c r="I73" s="32" t="n">
        <v>2.680000067</v>
      </c>
      <c r="J73" s="31" t="n">
        <v>1</v>
      </c>
      <c r="K73" s="31" t="n">
        <v>0</v>
      </c>
    </row>
    <row r="74" customFormat="false" ht="15" hidden="false" customHeight="false" outlineLevel="0" collapsed="false">
      <c r="A74" s="31" t="n">
        <v>737320</v>
      </c>
      <c r="B74" s="31" t="n">
        <v>936</v>
      </c>
      <c r="C74" s="31" t="n">
        <v>109553</v>
      </c>
      <c r="D74" s="31" t="s">
        <v>58</v>
      </c>
      <c r="E74" s="31" t="s">
        <v>64</v>
      </c>
      <c r="F74" s="31" t="n">
        <v>63</v>
      </c>
      <c r="G74" s="31" t="n">
        <v>5676</v>
      </c>
      <c r="H74" s="31" t="n">
        <v>2</v>
      </c>
      <c r="I74" s="32" t="n">
        <v>3.00999999</v>
      </c>
      <c r="J74" s="31" t="n">
        <v>1</v>
      </c>
      <c r="K74" s="31" t="n">
        <v>0</v>
      </c>
    </row>
    <row r="75" customFormat="false" ht="15" hidden="false" customHeight="false" outlineLevel="0" collapsed="false">
      <c r="A75" s="31" t="n">
        <v>737524</v>
      </c>
      <c r="B75" s="31" t="n">
        <v>936</v>
      </c>
      <c r="C75" s="31" t="n">
        <v>109601</v>
      </c>
      <c r="D75" s="31" t="s">
        <v>59</v>
      </c>
      <c r="E75" s="31" t="s">
        <v>64</v>
      </c>
      <c r="F75" s="31" t="n">
        <v>30</v>
      </c>
      <c r="G75" s="31" t="n">
        <v>2148</v>
      </c>
      <c r="H75" s="31" t="n">
        <v>1</v>
      </c>
      <c r="I75" s="32" t="n">
        <v>1.580000043</v>
      </c>
      <c r="J75" s="31" t="n">
        <v>1</v>
      </c>
      <c r="K75" s="31" t="n">
        <v>1</v>
      </c>
    </row>
    <row r="76" customFormat="false" ht="15" hidden="false" customHeight="false" outlineLevel="0" collapsed="false">
      <c r="A76" s="31" t="n">
        <v>737644</v>
      </c>
      <c r="B76" s="31" t="n">
        <v>936</v>
      </c>
      <c r="C76" s="31" t="n">
        <v>109629</v>
      </c>
      <c r="D76" s="31" t="s">
        <v>60</v>
      </c>
      <c r="E76" s="31" t="s">
        <v>64</v>
      </c>
      <c r="F76" s="31" t="n">
        <v>16</v>
      </c>
      <c r="G76" s="31" t="n">
        <v>45401</v>
      </c>
      <c r="H76" s="31" t="n">
        <v>10</v>
      </c>
      <c r="I76" s="32" t="n">
        <v>14.06000042</v>
      </c>
      <c r="J76" s="31" t="n">
        <v>1</v>
      </c>
      <c r="K76" s="31" t="n">
        <v>0</v>
      </c>
    </row>
    <row r="77" customFormat="false" ht="15" hidden="false" customHeight="false" outlineLevel="0" collapsed="false">
      <c r="A77" s="31" t="n">
        <v>737657</v>
      </c>
      <c r="B77" s="31" t="n">
        <v>936</v>
      </c>
      <c r="C77" s="31" t="n">
        <v>109633</v>
      </c>
      <c r="D77" s="31" t="s">
        <v>60</v>
      </c>
      <c r="E77" s="31" t="s">
        <v>64</v>
      </c>
      <c r="F77" s="31" t="n">
        <v>18</v>
      </c>
      <c r="G77" s="31" t="n">
        <v>7478</v>
      </c>
      <c r="H77" s="31" t="n">
        <v>2</v>
      </c>
      <c r="I77" s="32" t="n">
        <v>2.900000095</v>
      </c>
      <c r="J77" s="31" t="n">
        <v>1</v>
      </c>
      <c r="K77" s="31" t="n">
        <v>1</v>
      </c>
    </row>
    <row r="78" customFormat="false" ht="15" hidden="false" customHeight="false" outlineLevel="0" collapsed="false">
      <c r="A78" s="31" t="n">
        <v>737658</v>
      </c>
      <c r="B78" s="31" t="n">
        <v>936</v>
      </c>
      <c r="C78" s="31" t="n">
        <v>109633</v>
      </c>
      <c r="D78" s="31" t="s">
        <v>60</v>
      </c>
      <c r="E78" s="31" t="s">
        <v>64</v>
      </c>
      <c r="F78" s="31" t="n">
        <v>18</v>
      </c>
      <c r="G78" s="31" t="n">
        <v>4919</v>
      </c>
      <c r="H78" s="31" t="n">
        <v>1</v>
      </c>
      <c r="I78" s="32" t="n">
        <v>1.590000033</v>
      </c>
      <c r="J78" s="31" t="n">
        <v>1</v>
      </c>
      <c r="K78" s="31" t="n">
        <v>0</v>
      </c>
    </row>
    <row r="79" customFormat="false" ht="15" hidden="false" customHeight="false" outlineLevel="0" collapsed="false">
      <c r="A79" s="31" t="n">
        <v>737896</v>
      </c>
      <c r="B79" s="31" t="n">
        <v>936</v>
      </c>
      <c r="C79" s="31" t="n">
        <v>109689</v>
      </c>
      <c r="D79" s="31" t="s">
        <v>57</v>
      </c>
      <c r="E79" s="31" t="s">
        <v>63</v>
      </c>
      <c r="F79" s="31" t="n">
        <v>16</v>
      </c>
      <c r="G79" s="31" t="n">
        <v>17553</v>
      </c>
      <c r="H79" s="31" t="n">
        <v>3</v>
      </c>
      <c r="I79" s="32" t="n">
        <v>4.590000153</v>
      </c>
      <c r="J79" s="31" t="n">
        <v>1</v>
      </c>
      <c r="K79" s="31" t="n">
        <v>0</v>
      </c>
    </row>
    <row r="80" customFormat="false" ht="15" hidden="false" customHeight="false" outlineLevel="0" collapsed="false">
      <c r="A80" s="31" t="n">
        <v>737931</v>
      </c>
      <c r="B80" s="31" t="n">
        <v>936</v>
      </c>
      <c r="C80" s="31" t="n">
        <v>109698</v>
      </c>
      <c r="D80" s="31" t="s">
        <v>57</v>
      </c>
      <c r="E80" s="31" t="s">
        <v>63</v>
      </c>
      <c r="F80" s="31" t="n">
        <v>20</v>
      </c>
      <c r="G80" s="31" t="n">
        <v>3343</v>
      </c>
      <c r="H80" s="31" t="n">
        <v>1</v>
      </c>
      <c r="I80" s="32" t="n">
        <v>0.540000021</v>
      </c>
      <c r="J80" s="31" t="n">
        <v>1</v>
      </c>
      <c r="K80" s="31" t="n">
        <v>0</v>
      </c>
    </row>
    <row r="81" customFormat="false" ht="15" hidden="false" customHeight="false" outlineLevel="0" collapsed="false">
      <c r="A81" s="31" t="n">
        <v>738006</v>
      </c>
      <c r="B81" s="31" t="n">
        <v>936</v>
      </c>
      <c r="C81" s="31" t="n">
        <v>109717</v>
      </c>
      <c r="D81" s="31" t="s">
        <v>57</v>
      </c>
      <c r="E81" s="31" t="s">
        <v>63</v>
      </c>
      <c r="F81" s="31" t="n">
        <v>27</v>
      </c>
      <c r="G81" s="31" t="n">
        <v>34740</v>
      </c>
      <c r="H81" s="31" t="n">
        <v>7</v>
      </c>
      <c r="I81" s="32" t="n">
        <v>13.41000009</v>
      </c>
      <c r="J81" s="31" t="n">
        <v>1</v>
      </c>
      <c r="K81" s="31" t="n">
        <v>1</v>
      </c>
    </row>
    <row r="82" customFormat="false" ht="15" hidden="false" customHeight="false" outlineLevel="0" collapsed="false">
      <c r="A82" s="31" t="n">
        <v>738307</v>
      </c>
      <c r="B82" s="31" t="n">
        <v>936</v>
      </c>
      <c r="C82" s="31" t="n">
        <v>109788</v>
      </c>
      <c r="D82" s="31" t="s">
        <v>58</v>
      </c>
      <c r="E82" s="31" t="s">
        <v>63</v>
      </c>
      <c r="F82" s="31" t="n">
        <v>31</v>
      </c>
      <c r="G82" s="31" t="n">
        <v>3010</v>
      </c>
      <c r="H82" s="31" t="n">
        <v>1</v>
      </c>
      <c r="I82" s="32" t="n">
        <v>0.860000014</v>
      </c>
      <c r="J82" s="31" t="n">
        <v>1</v>
      </c>
      <c r="K82" s="31" t="n">
        <v>1</v>
      </c>
    </row>
    <row r="83" customFormat="false" ht="15" hidden="false" customHeight="false" outlineLevel="0" collapsed="false">
      <c r="A83" s="31" t="n">
        <v>738389</v>
      </c>
      <c r="B83" s="31" t="n">
        <v>936</v>
      </c>
      <c r="C83" s="31" t="n">
        <v>109808</v>
      </c>
      <c r="D83" s="31" t="s">
        <v>59</v>
      </c>
      <c r="E83" s="31" t="s">
        <v>63</v>
      </c>
      <c r="F83" s="31" t="n">
        <v>10</v>
      </c>
      <c r="G83" s="31" t="n">
        <v>27081</v>
      </c>
      <c r="H83" s="31" t="n">
        <v>9</v>
      </c>
      <c r="I83" s="32" t="n">
        <v>10.77000046</v>
      </c>
      <c r="J83" s="31" t="n">
        <v>1</v>
      </c>
      <c r="K83" s="31" t="n">
        <v>1</v>
      </c>
    </row>
    <row r="84" customFormat="false" ht="15" hidden="false" customHeight="false" outlineLevel="0" collapsed="false">
      <c r="A84" s="31" t="n">
        <v>738408</v>
      </c>
      <c r="B84" s="31" t="n">
        <v>936</v>
      </c>
      <c r="C84" s="31" t="n">
        <v>109813</v>
      </c>
      <c r="D84" s="31" t="s">
        <v>59</v>
      </c>
      <c r="E84" s="31" t="s">
        <v>63</v>
      </c>
      <c r="F84" s="31" t="n">
        <v>16</v>
      </c>
      <c r="G84" s="31" t="n">
        <v>20233</v>
      </c>
      <c r="H84" s="31" t="n">
        <v>4</v>
      </c>
      <c r="I84" s="32" t="n">
        <v>5.590000153</v>
      </c>
      <c r="J84" s="31" t="n">
        <v>3</v>
      </c>
      <c r="K84" s="31" t="n">
        <v>0</v>
      </c>
    </row>
    <row r="85" customFormat="false" ht="15" hidden="false" customHeight="false" outlineLevel="0" collapsed="false">
      <c r="A85" s="31" t="n">
        <v>738413</v>
      </c>
      <c r="B85" s="31" t="n">
        <v>936</v>
      </c>
      <c r="C85" s="31" t="n">
        <v>109813</v>
      </c>
      <c r="D85" s="31" t="s">
        <v>59</v>
      </c>
      <c r="E85" s="31" t="s">
        <v>63</v>
      </c>
      <c r="F85" s="31" t="n">
        <v>16</v>
      </c>
      <c r="G85" s="31" t="n">
        <v>147159</v>
      </c>
      <c r="H85" s="31" t="n">
        <v>36</v>
      </c>
      <c r="I85" s="32" t="n">
        <v>58.16000044</v>
      </c>
      <c r="J85" s="31" t="n">
        <v>3</v>
      </c>
      <c r="K85" s="31" t="n">
        <v>1</v>
      </c>
    </row>
    <row r="86" customFormat="false" ht="15" hidden="false" customHeight="false" outlineLevel="0" collapsed="false">
      <c r="A86" s="31" t="n">
        <v>738423</v>
      </c>
      <c r="B86" s="31" t="n">
        <v>936</v>
      </c>
      <c r="C86" s="31" t="n">
        <v>109816</v>
      </c>
      <c r="D86" s="31" t="s">
        <v>59</v>
      </c>
      <c r="E86" s="31" t="s">
        <v>63</v>
      </c>
      <c r="F86" s="31" t="n">
        <v>18</v>
      </c>
      <c r="G86" s="31" t="n">
        <v>21664</v>
      </c>
      <c r="H86" s="31" t="n">
        <v>7</v>
      </c>
      <c r="I86" s="32" t="n">
        <v>10.61999977</v>
      </c>
      <c r="J86" s="31" t="n">
        <v>1</v>
      </c>
      <c r="K86" s="31" t="n">
        <v>1</v>
      </c>
    </row>
    <row r="87" customFormat="false" ht="15" hidden="false" customHeight="false" outlineLevel="0" collapsed="false">
      <c r="A87" s="31" t="n">
        <v>738436</v>
      </c>
      <c r="B87" s="31" t="n">
        <v>936</v>
      </c>
      <c r="C87" s="31" t="n">
        <v>109820</v>
      </c>
      <c r="D87" s="31" t="s">
        <v>59</v>
      </c>
      <c r="E87" s="31" t="s">
        <v>63</v>
      </c>
      <c r="F87" s="31" t="n">
        <v>19</v>
      </c>
      <c r="G87" s="31" t="n">
        <v>9112</v>
      </c>
      <c r="H87" s="31" t="n">
        <v>4</v>
      </c>
      <c r="I87" s="32" t="n">
        <v>5.460000038</v>
      </c>
      <c r="J87" s="31" t="n">
        <v>1</v>
      </c>
      <c r="K87" s="31" t="n">
        <v>1</v>
      </c>
    </row>
    <row r="88" customFormat="false" ht="15" hidden="false" customHeight="false" outlineLevel="0" collapsed="false">
      <c r="A88" s="31" t="n">
        <v>738582</v>
      </c>
      <c r="B88" s="31" t="n">
        <v>936</v>
      </c>
      <c r="C88" s="31" t="n">
        <v>109848</v>
      </c>
      <c r="D88" s="31" t="s">
        <v>60</v>
      </c>
      <c r="E88" s="31" t="s">
        <v>63</v>
      </c>
      <c r="F88" s="31" t="n">
        <v>10</v>
      </c>
      <c r="G88" s="31" t="n">
        <v>46150</v>
      </c>
      <c r="H88" s="31" t="n">
        <v>15</v>
      </c>
      <c r="I88" s="32" t="n">
        <v>20.17999983</v>
      </c>
      <c r="J88" s="31" t="n">
        <v>1</v>
      </c>
      <c r="K88" s="31" t="n">
        <v>1</v>
      </c>
    </row>
    <row r="89" customFormat="false" ht="15" hidden="false" customHeight="false" outlineLevel="0" collapsed="false">
      <c r="A89" s="31" t="n">
        <v>738592</v>
      </c>
      <c r="B89" s="31" t="n">
        <v>936</v>
      </c>
      <c r="C89" s="31" t="n">
        <v>109850</v>
      </c>
      <c r="D89" s="31" t="s">
        <v>60</v>
      </c>
      <c r="E89" s="31" t="s">
        <v>63</v>
      </c>
      <c r="F89" s="31" t="n">
        <v>16</v>
      </c>
      <c r="G89" s="31" t="n">
        <v>493821</v>
      </c>
      <c r="H89" s="31" t="n">
        <v>116</v>
      </c>
      <c r="I89" s="32" t="n">
        <v>176.3799977</v>
      </c>
      <c r="J89" s="31" t="n">
        <v>4</v>
      </c>
      <c r="K89" s="31" t="n">
        <v>1</v>
      </c>
    </row>
    <row r="90" customFormat="false" ht="15" hidden="false" customHeight="false" outlineLevel="0" collapsed="false">
      <c r="A90" s="31" t="n">
        <v>738593</v>
      </c>
      <c r="B90" s="31" t="n">
        <v>936</v>
      </c>
      <c r="C90" s="31" t="n">
        <v>109850</v>
      </c>
      <c r="D90" s="31" t="s">
        <v>60</v>
      </c>
      <c r="E90" s="31" t="s">
        <v>63</v>
      </c>
      <c r="F90" s="31" t="n">
        <v>16</v>
      </c>
      <c r="G90" s="31" t="n">
        <v>92011</v>
      </c>
      <c r="H90" s="31" t="n">
        <v>27</v>
      </c>
      <c r="I90" s="32" t="n">
        <v>34.39000046</v>
      </c>
      <c r="J90" s="31" t="n">
        <v>2</v>
      </c>
      <c r="K90" s="31" t="n">
        <v>1</v>
      </c>
    </row>
    <row r="91" customFormat="false" ht="15" hidden="false" customHeight="false" outlineLevel="0" collapsed="false">
      <c r="A91" s="31" t="n">
        <v>738598</v>
      </c>
      <c r="B91" s="31" t="n">
        <v>936</v>
      </c>
      <c r="C91" s="31" t="n">
        <v>109851</v>
      </c>
      <c r="D91" s="31" t="s">
        <v>60</v>
      </c>
      <c r="E91" s="31" t="s">
        <v>63</v>
      </c>
      <c r="F91" s="31" t="n">
        <v>18</v>
      </c>
      <c r="G91" s="31" t="n">
        <v>12956</v>
      </c>
      <c r="H91" s="31" t="n">
        <v>4</v>
      </c>
      <c r="I91" s="32" t="n">
        <v>5.49000001</v>
      </c>
      <c r="J91" s="31" t="n">
        <v>1</v>
      </c>
      <c r="K91" s="31" t="n">
        <v>1</v>
      </c>
    </row>
    <row r="92" customFormat="false" ht="15" hidden="false" customHeight="false" outlineLevel="0" collapsed="false">
      <c r="A92" s="31" t="n">
        <v>738637</v>
      </c>
      <c r="B92" s="31" t="n">
        <v>936</v>
      </c>
      <c r="C92" s="31" t="n">
        <v>109857</v>
      </c>
      <c r="D92" s="31" t="s">
        <v>60</v>
      </c>
      <c r="E92" s="31" t="s">
        <v>63</v>
      </c>
      <c r="F92" s="31" t="n">
        <v>24</v>
      </c>
      <c r="G92" s="31" t="n">
        <v>944</v>
      </c>
      <c r="H92" s="31" t="n">
        <v>1</v>
      </c>
      <c r="I92" s="32" t="n">
        <v>1.419999957</v>
      </c>
      <c r="J92" s="31" t="n">
        <v>1</v>
      </c>
      <c r="K92" s="31" t="n">
        <v>0</v>
      </c>
    </row>
    <row r="93" customFormat="false" ht="15" hidden="false" customHeight="false" outlineLevel="0" collapsed="false">
      <c r="A93" s="31" t="n">
        <v>738648</v>
      </c>
      <c r="B93" s="31" t="n">
        <v>936</v>
      </c>
      <c r="C93" s="31" t="n">
        <v>109859</v>
      </c>
      <c r="D93" s="31" t="s">
        <v>60</v>
      </c>
      <c r="E93" s="31" t="s">
        <v>63</v>
      </c>
      <c r="F93" s="31" t="n">
        <v>26</v>
      </c>
      <c r="G93" s="31" t="n">
        <v>111090</v>
      </c>
      <c r="H93" s="31" t="n">
        <v>38</v>
      </c>
      <c r="I93" s="32" t="n">
        <v>51.97000027</v>
      </c>
      <c r="J93" s="31" t="n">
        <v>5</v>
      </c>
      <c r="K93" s="31" t="n">
        <v>1</v>
      </c>
    </row>
    <row r="94" customFormat="false" ht="15" hidden="false" customHeight="false" outlineLevel="0" collapsed="false">
      <c r="A94" s="31" t="n">
        <v>747212</v>
      </c>
      <c r="B94" s="31" t="n">
        <v>936</v>
      </c>
      <c r="C94" s="31" t="n">
        <v>110836</v>
      </c>
      <c r="D94" s="31" t="s">
        <v>57</v>
      </c>
      <c r="E94" s="31" t="s">
        <v>64</v>
      </c>
      <c r="F94" s="31" t="n">
        <v>10</v>
      </c>
      <c r="G94" s="31" t="n">
        <v>7208</v>
      </c>
      <c r="H94" s="31" t="n">
        <v>2</v>
      </c>
      <c r="I94" s="32" t="n">
        <v>3.190000057</v>
      </c>
      <c r="J94" s="31" t="n">
        <v>1</v>
      </c>
      <c r="K94" s="31" t="n">
        <v>0</v>
      </c>
    </row>
    <row r="95" customFormat="false" ht="15" hidden="false" customHeight="false" outlineLevel="0" collapsed="false">
      <c r="A95" s="31" t="n">
        <v>747222</v>
      </c>
      <c r="B95" s="31" t="n">
        <v>936</v>
      </c>
      <c r="C95" s="31" t="n">
        <v>110838</v>
      </c>
      <c r="D95" s="31" t="s">
        <v>57</v>
      </c>
      <c r="E95" s="31" t="s">
        <v>64</v>
      </c>
      <c r="F95" s="31" t="n">
        <v>16</v>
      </c>
      <c r="G95" s="31" t="n">
        <v>12489</v>
      </c>
      <c r="H95" s="31" t="n">
        <v>2</v>
      </c>
      <c r="I95" s="32" t="n">
        <v>1.960000038</v>
      </c>
      <c r="J95" s="31" t="n">
        <v>1</v>
      </c>
      <c r="K95" s="31" t="n">
        <v>0</v>
      </c>
    </row>
    <row r="96" customFormat="false" ht="15" hidden="false" customHeight="false" outlineLevel="0" collapsed="false">
      <c r="A96" s="31" t="n">
        <v>747223</v>
      </c>
      <c r="B96" s="31" t="n">
        <v>936</v>
      </c>
      <c r="C96" s="31" t="n">
        <v>110838</v>
      </c>
      <c r="D96" s="31" t="s">
        <v>57</v>
      </c>
      <c r="E96" s="31" t="s">
        <v>64</v>
      </c>
      <c r="F96" s="31" t="n">
        <v>16</v>
      </c>
      <c r="G96" s="31" t="n">
        <v>8032</v>
      </c>
      <c r="H96" s="31" t="n">
        <v>1</v>
      </c>
      <c r="I96" s="32" t="n">
        <v>0.600000024</v>
      </c>
      <c r="J96" s="31" t="n">
        <v>2</v>
      </c>
      <c r="K96" s="31" t="n">
        <v>0</v>
      </c>
    </row>
    <row r="97" customFormat="false" ht="15" hidden="false" customHeight="false" outlineLevel="0" collapsed="false">
      <c r="A97" s="31" t="n">
        <v>747362</v>
      </c>
      <c r="B97" s="31" t="n">
        <v>936</v>
      </c>
      <c r="C97" s="31" t="n">
        <v>110861</v>
      </c>
      <c r="D97" s="31" t="s">
        <v>58</v>
      </c>
      <c r="E97" s="31" t="s">
        <v>64</v>
      </c>
      <c r="F97" s="31" t="n">
        <v>15</v>
      </c>
      <c r="G97" s="31" t="n">
        <v>4607</v>
      </c>
      <c r="H97" s="31" t="n">
        <v>1</v>
      </c>
      <c r="I97" s="32" t="n">
        <v>1.149999976</v>
      </c>
      <c r="J97" s="31" t="n">
        <v>1</v>
      </c>
      <c r="K97" s="31" t="n">
        <v>1</v>
      </c>
    </row>
    <row r="98" customFormat="false" ht="15" hidden="false" customHeight="false" outlineLevel="0" collapsed="false">
      <c r="A98" s="31" t="n">
        <v>747369</v>
      </c>
      <c r="B98" s="31" t="n">
        <v>936</v>
      </c>
      <c r="C98" s="31" t="n">
        <v>110862</v>
      </c>
      <c r="D98" s="31" t="s">
        <v>58</v>
      </c>
      <c r="E98" s="31" t="s">
        <v>64</v>
      </c>
      <c r="F98" s="31" t="n">
        <v>16</v>
      </c>
      <c r="G98" s="31" t="n">
        <v>13355</v>
      </c>
      <c r="H98" s="31" t="n">
        <v>2</v>
      </c>
      <c r="I98" s="32" t="n">
        <v>3.180000067</v>
      </c>
      <c r="J98" s="31" t="n">
        <v>1</v>
      </c>
      <c r="K98" s="31" t="n">
        <v>1</v>
      </c>
    </row>
    <row r="99" customFormat="false" ht="15" hidden="false" customHeight="false" outlineLevel="0" collapsed="false">
      <c r="A99" s="31" t="n">
        <v>747401</v>
      </c>
      <c r="B99" s="31" t="n">
        <v>936</v>
      </c>
      <c r="C99" s="31" t="n">
        <v>110867</v>
      </c>
      <c r="D99" s="31" t="s">
        <v>58</v>
      </c>
      <c r="E99" s="31" t="s">
        <v>64</v>
      </c>
      <c r="F99" s="31" t="n">
        <v>22</v>
      </c>
      <c r="G99" s="31" t="n">
        <v>2793</v>
      </c>
      <c r="H99" s="31" t="n">
        <v>1</v>
      </c>
      <c r="I99" s="32" t="n">
        <v>0.980000019</v>
      </c>
      <c r="J99" s="31" t="n">
        <v>1</v>
      </c>
      <c r="K99" s="31" t="n">
        <v>1</v>
      </c>
    </row>
    <row r="100" customFormat="false" ht="15" hidden="false" customHeight="false" outlineLevel="0" collapsed="false">
      <c r="A100" s="31" t="n">
        <v>747489</v>
      </c>
      <c r="B100" s="31" t="n">
        <v>936</v>
      </c>
      <c r="C100" s="31" t="n">
        <v>110882</v>
      </c>
      <c r="D100" s="31" t="s">
        <v>59</v>
      </c>
      <c r="E100" s="31" t="s">
        <v>64</v>
      </c>
      <c r="F100" s="31" t="n">
        <v>2</v>
      </c>
      <c r="G100" s="31" t="n">
        <v>4016</v>
      </c>
      <c r="H100" s="31" t="n">
        <v>2</v>
      </c>
      <c r="I100" s="32" t="n">
        <v>1.480000049</v>
      </c>
      <c r="J100" s="31" t="n">
        <v>1</v>
      </c>
      <c r="K100" s="31" t="n">
        <v>1</v>
      </c>
    </row>
    <row r="101" customFormat="false" ht="15" hidden="false" customHeight="false" outlineLevel="0" collapsed="false">
      <c r="A101" s="31" t="n">
        <v>747514</v>
      </c>
      <c r="B101" s="31" t="n">
        <v>936</v>
      </c>
      <c r="C101" s="31" t="n">
        <v>110886</v>
      </c>
      <c r="D101" s="31" t="s">
        <v>59</v>
      </c>
      <c r="E101" s="31" t="s">
        <v>64</v>
      </c>
      <c r="F101" s="31" t="n">
        <v>16</v>
      </c>
      <c r="G101" s="31" t="n">
        <v>14843</v>
      </c>
      <c r="H101" s="31" t="n">
        <v>3</v>
      </c>
      <c r="I101" s="32" t="n">
        <v>2.939999938</v>
      </c>
      <c r="J101" s="31" t="n">
        <v>1</v>
      </c>
      <c r="K101" s="31" t="n">
        <v>1</v>
      </c>
    </row>
    <row r="102" customFormat="false" ht="15" hidden="false" customHeight="false" outlineLevel="0" collapsed="false">
      <c r="A102" s="31" t="n">
        <v>747645</v>
      </c>
      <c r="B102" s="31" t="n">
        <v>936</v>
      </c>
      <c r="C102" s="31" t="n">
        <v>110908</v>
      </c>
      <c r="D102" s="31" t="s">
        <v>60</v>
      </c>
      <c r="E102" s="31" t="s">
        <v>64</v>
      </c>
      <c r="F102" s="31" t="n">
        <v>10</v>
      </c>
      <c r="G102" s="31" t="n">
        <v>9674</v>
      </c>
      <c r="H102" s="31" t="n">
        <v>3</v>
      </c>
      <c r="I102" s="32" t="n">
        <v>4.600000024</v>
      </c>
      <c r="J102" s="31" t="n">
        <v>1</v>
      </c>
      <c r="K102" s="31" t="n">
        <v>1</v>
      </c>
    </row>
    <row r="103" customFormat="false" ht="15" hidden="false" customHeight="false" outlineLevel="0" collapsed="false">
      <c r="A103" s="31" t="n">
        <v>747659</v>
      </c>
      <c r="B103" s="31" t="n">
        <v>936</v>
      </c>
      <c r="C103" s="31" t="n">
        <v>110910</v>
      </c>
      <c r="D103" s="31" t="s">
        <v>60</v>
      </c>
      <c r="E103" s="31" t="s">
        <v>64</v>
      </c>
      <c r="F103" s="31" t="n">
        <v>16</v>
      </c>
      <c r="G103" s="31" t="n">
        <v>12186</v>
      </c>
      <c r="H103" s="31" t="n">
        <v>2</v>
      </c>
      <c r="I103" s="32" t="n">
        <v>2.669999957</v>
      </c>
      <c r="J103" s="31" t="n">
        <v>1</v>
      </c>
      <c r="K103" s="31" t="n">
        <v>0</v>
      </c>
    </row>
    <row r="104" customFormat="false" ht="15" hidden="false" customHeight="false" outlineLevel="0" collapsed="false">
      <c r="A104" s="31" t="n">
        <v>747791</v>
      </c>
      <c r="B104" s="31" t="n">
        <v>936</v>
      </c>
      <c r="C104" s="31" t="n">
        <v>110932</v>
      </c>
      <c r="D104" s="31" t="s">
        <v>57</v>
      </c>
      <c r="E104" s="31" t="s">
        <v>63</v>
      </c>
      <c r="F104" s="31" t="n">
        <v>10</v>
      </c>
      <c r="G104" s="31" t="n">
        <v>31393</v>
      </c>
      <c r="H104" s="31" t="n">
        <v>8</v>
      </c>
      <c r="I104" s="32" t="n">
        <v>10.96000051</v>
      </c>
      <c r="J104" s="31" t="n">
        <v>1</v>
      </c>
      <c r="K104" s="31" t="n">
        <v>1</v>
      </c>
    </row>
    <row r="105" customFormat="false" ht="15" hidden="false" customHeight="false" outlineLevel="0" collapsed="false">
      <c r="A105" s="31" t="n">
        <v>747795</v>
      </c>
      <c r="B105" s="31" t="n">
        <v>936</v>
      </c>
      <c r="C105" s="31" t="n">
        <v>110933</v>
      </c>
      <c r="D105" s="31" t="s">
        <v>57</v>
      </c>
      <c r="E105" s="31" t="s">
        <v>63</v>
      </c>
      <c r="F105" s="31" t="n">
        <v>15</v>
      </c>
      <c r="G105" s="31" t="n">
        <v>8410</v>
      </c>
      <c r="H105" s="31" t="n">
        <v>2</v>
      </c>
      <c r="I105" s="32" t="n">
        <v>2.359999895</v>
      </c>
      <c r="J105" s="31" t="n">
        <v>1</v>
      </c>
      <c r="K105" s="31" t="n">
        <v>1</v>
      </c>
    </row>
    <row r="106" customFormat="false" ht="15" hidden="false" customHeight="false" outlineLevel="0" collapsed="false">
      <c r="A106" s="31" t="n">
        <v>747798</v>
      </c>
      <c r="B106" s="31" t="n">
        <v>936</v>
      </c>
      <c r="C106" s="31" t="n">
        <v>110934</v>
      </c>
      <c r="D106" s="31" t="s">
        <v>57</v>
      </c>
      <c r="E106" s="31" t="s">
        <v>63</v>
      </c>
      <c r="F106" s="31" t="n">
        <v>16</v>
      </c>
      <c r="G106" s="31" t="n">
        <v>25884</v>
      </c>
      <c r="H106" s="31" t="n">
        <v>5</v>
      </c>
      <c r="I106" s="32" t="n">
        <v>7.350000143</v>
      </c>
      <c r="J106" s="31" t="n">
        <v>1</v>
      </c>
      <c r="K106" s="31" t="n">
        <v>0</v>
      </c>
    </row>
    <row r="107" customFormat="false" ht="15" hidden="false" customHeight="false" outlineLevel="0" collapsed="false">
      <c r="A107" s="31" t="n">
        <v>747828</v>
      </c>
      <c r="B107" s="31" t="n">
        <v>936</v>
      </c>
      <c r="C107" s="31" t="n">
        <v>110939</v>
      </c>
      <c r="D107" s="31" t="s">
        <v>57</v>
      </c>
      <c r="E107" s="31" t="s">
        <v>63</v>
      </c>
      <c r="F107" s="31" t="n">
        <v>22</v>
      </c>
      <c r="G107" s="31" t="n">
        <v>28488</v>
      </c>
      <c r="H107" s="31" t="n">
        <v>10</v>
      </c>
      <c r="I107" s="32" t="n">
        <v>9.340000033</v>
      </c>
      <c r="J107" s="31" t="n">
        <v>1</v>
      </c>
      <c r="K107" s="31" t="n">
        <v>0</v>
      </c>
    </row>
    <row r="108" customFormat="false" ht="15" hidden="false" customHeight="false" outlineLevel="0" collapsed="false">
      <c r="A108" s="31" t="n">
        <v>747852</v>
      </c>
      <c r="B108" s="31" t="n">
        <v>936</v>
      </c>
      <c r="C108" s="31" t="n">
        <v>110943</v>
      </c>
      <c r="D108" s="31" t="s">
        <v>57</v>
      </c>
      <c r="E108" s="31" t="s">
        <v>63</v>
      </c>
      <c r="F108" s="31" t="n">
        <v>26</v>
      </c>
      <c r="G108" s="31" t="n">
        <v>10126</v>
      </c>
      <c r="H108" s="31" t="n">
        <v>3</v>
      </c>
      <c r="I108" s="32" t="n">
        <v>4.619999886</v>
      </c>
      <c r="J108" s="31" t="n">
        <v>1</v>
      </c>
      <c r="K108" s="31" t="n">
        <v>0</v>
      </c>
    </row>
    <row r="109" customFormat="false" ht="15" hidden="false" customHeight="false" outlineLevel="0" collapsed="false">
      <c r="A109" s="31" t="n">
        <v>747859</v>
      </c>
      <c r="B109" s="31" t="n">
        <v>936</v>
      </c>
      <c r="C109" s="31" t="n">
        <v>110944</v>
      </c>
      <c r="D109" s="31" t="s">
        <v>57</v>
      </c>
      <c r="E109" s="31" t="s">
        <v>63</v>
      </c>
      <c r="F109" s="31" t="n">
        <v>27</v>
      </c>
      <c r="G109" s="31" t="n">
        <v>22572</v>
      </c>
      <c r="H109" s="31" t="n">
        <v>5</v>
      </c>
      <c r="I109" s="32" t="n">
        <v>8.5</v>
      </c>
      <c r="J109" s="31" t="n">
        <v>1</v>
      </c>
      <c r="K109" s="31" t="n">
        <v>0</v>
      </c>
    </row>
    <row r="110" customFormat="false" ht="15" hidden="false" customHeight="false" outlineLevel="0" collapsed="false">
      <c r="A110" s="31" t="n">
        <v>747991</v>
      </c>
      <c r="B110" s="31" t="n">
        <v>936</v>
      </c>
      <c r="C110" s="31" t="n">
        <v>110966</v>
      </c>
      <c r="D110" s="31" t="s">
        <v>58</v>
      </c>
      <c r="E110" s="31" t="s">
        <v>63</v>
      </c>
      <c r="F110" s="31" t="n">
        <v>25</v>
      </c>
      <c r="G110" s="31" t="n">
        <v>4868</v>
      </c>
      <c r="H110" s="31" t="n">
        <v>2</v>
      </c>
      <c r="I110" s="32" t="n">
        <v>2.420000076</v>
      </c>
      <c r="J110" s="31" t="n">
        <v>1</v>
      </c>
      <c r="K110" s="31" t="n">
        <v>0</v>
      </c>
    </row>
    <row r="111" customFormat="false" ht="15" hidden="false" customHeight="false" outlineLevel="0" collapsed="false">
      <c r="A111" s="31" t="n">
        <v>748000</v>
      </c>
      <c r="B111" s="31" t="n">
        <v>936</v>
      </c>
      <c r="C111" s="31" t="n">
        <v>110967</v>
      </c>
      <c r="D111" s="31" t="s">
        <v>58</v>
      </c>
      <c r="E111" s="31" t="s">
        <v>63</v>
      </c>
      <c r="F111" s="31" t="n">
        <v>26</v>
      </c>
      <c r="G111" s="31" t="n">
        <v>6585</v>
      </c>
      <c r="H111" s="31" t="n">
        <v>2</v>
      </c>
      <c r="I111" s="32" t="n">
        <v>2.950000048</v>
      </c>
      <c r="J111" s="31" t="n">
        <v>1</v>
      </c>
      <c r="K111" s="31" t="n">
        <v>0</v>
      </c>
    </row>
    <row r="112" customFormat="false" ht="15" hidden="false" customHeight="false" outlineLevel="0" collapsed="false">
      <c r="A112" s="31" t="n">
        <v>748007</v>
      </c>
      <c r="B112" s="31" t="n">
        <v>936</v>
      </c>
      <c r="C112" s="31" t="n">
        <v>110968</v>
      </c>
      <c r="D112" s="31" t="s">
        <v>58</v>
      </c>
      <c r="E112" s="31" t="s">
        <v>63</v>
      </c>
      <c r="F112" s="31" t="n">
        <v>27</v>
      </c>
      <c r="G112" s="31" t="n">
        <v>10164</v>
      </c>
      <c r="H112" s="31" t="n">
        <v>2</v>
      </c>
      <c r="I112" s="32" t="n">
        <v>3.720000029</v>
      </c>
      <c r="J112" s="31" t="n">
        <v>1</v>
      </c>
      <c r="K112" s="31" t="n">
        <v>1</v>
      </c>
    </row>
    <row r="113" customFormat="false" ht="15" hidden="false" customHeight="false" outlineLevel="0" collapsed="false">
      <c r="A113" s="31" t="n">
        <v>748014</v>
      </c>
      <c r="B113" s="31" t="n">
        <v>936</v>
      </c>
      <c r="C113" s="31" t="n">
        <v>110970</v>
      </c>
      <c r="D113" s="31" t="s">
        <v>58</v>
      </c>
      <c r="E113" s="31" t="s">
        <v>63</v>
      </c>
      <c r="F113" s="31" t="n">
        <v>29</v>
      </c>
      <c r="G113" s="31" t="n">
        <v>11182</v>
      </c>
      <c r="H113" s="31" t="n">
        <v>4</v>
      </c>
      <c r="I113" s="32" t="n">
        <v>4.449999809</v>
      </c>
      <c r="J113" s="31" t="n">
        <v>1</v>
      </c>
      <c r="K113" s="31" t="n">
        <v>0</v>
      </c>
    </row>
    <row r="114" customFormat="false" ht="15" hidden="false" customHeight="false" outlineLevel="0" collapsed="false">
      <c r="A114" s="31" t="n">
        <v>748086</v>
      </c>
      <c r="B114" s="31" t="n">
        <v>936</v>
      </c>
      <c r="C114" s="31" t="n">
        <v>110982</v>
      </c>
      <c r="D114" s="31" t="s">
        <v>59</v>
      </c>
      <c r="E114" s="31" t="s">
        <v>63</v>
      </c>
      <c r="F114" s="31" t="n">
        <v>16</v>
      </c>
      <c r="G114" s="31" t="n">
        <v>34127</v>
      </c>
      <c r="H114" s="31" t="n">
        <v>8</v>
      </c>
      <c r="I114" s="32" t="n">
        <v>13.07000017</v>
      </c>
      <c r="J114" s="31" t="n">
        <v>1</v>
      </c>
      <c r="K114" s="31" t="n">
        <v>0</v>
      </c>
    </row>
    <row r="115" customFormat="false" ht="15" hidden="false" customHeight="false" outlineLevel="0" collapsed="false">
      <c r="A115" s="31" t="n">
        <v>748087</v>
      </c>
      <c r="B115" s="31" t="n">
        <v>936</v>
      </c>
      <c r="C115" s="31" t="n">
        <v>110982</v>
      </c>
      <c r="D115" s="31" t="s">
        <v>59</v>
      </c>
      <c r="E115" s="31" t="s">
        <v>63</v>
      </c>
      <c r="F115" s="31" t="n">
        <v>16</v>
      </c>
      <c r="G115" s="31" t="n">
        <v>29466</v>
      </c>
      <c r="H115" s="31" t="n">
        <v>7</v>
      </c>
      <c r="I115" s="32" t="n">
        <v>10.84999967</v>
      </c>
      <c r="J115" s="31" t="n">
        <v>2</v>
      </c>
      <c r="K115" s="31" t="n">
        <v>0</v>
      </c>
    </row>
    <row r="116" customFormat="false" ht="15" hidden="false" customHeight="false" outlineLevel="0" collapsed="false">
      <c r="A116" s="31" t="n">
        <v>748089</v>
      </c>
      <c r="B116" s="31" t="n">
        <v>936</v>
      </c>
      <c r="C116" s="31" t="n">
        <v>110982</v>
      </c>
      <c r="D116" s="31" t="s">
        <v>59</v>
      </c>
      <c r="E116" s="31" t="s">
        <v>63</v>
      </c>
      <c r="F116" s="31" t="n">
        <v>16</v>
      </c>
      <c r="G116" s="31" t="n">
        <v>38759</v>
      </c>
      <c r="H116" s="31" t="n">
        <v>9</v>
      </c>
      <c r="I116" s="32" t="n">
        <v>10.84999967</v>
      </c>
      <c r="J116" s="31" t="n">
        <v>1</v>
      </c>
      <c r="K116" s="31" t="n">
        <v>0</v>
      </c>
    </row>
    <row r="117" customFormat="false" ht="15" hidden="false" customHeight="false" outlineLevel="0" collapsed="false">
      <c r="A117" s="31" t="n">
        <v>748091</v>
      </c>
      <c r="B117" s="31" t="n">
        <v>936</v>
      </c>
      <c r="C117" s="31" t="n">
        <v>110982</v>
      </c>
      <c r="D117" s="31" t="s">
        <v>59</v>
      </c>
      <c r="E117" s="31" t="s">
        <v>63</v>
      </c>
      <c r="F117" s="31" t="n">
        <v>16</v>
      </c>
      <c r="G117" s="31" t="n">
        <v>41720</v>
      </c>
      <c r="H117" s="31" t="n">
        <v>10</v>
      </c>
      <c r="I117" s="32" t="n">
        <v>12.06000006</v>
      </c>
      <c r="J117" s="31" t="n">
        <v>1</v>
      </c>
      <c r="K117" s="31" t="n">
        <v>1</v>
      </c>
    </row>
    <row r="118" customFormat="false" ht="15" hidden="false" customHeight="false" outlineLevel="0" collapsed="false">
      <c r="A118" s="31" t="n">
        <v>748225</v>
      </c>
      <c r="B118" s="31" t="n">
        <v>936</v>
      </c>
      <c r="C118" s="31" t="n">
        <v>111005</v>
      </c>
      <c r="D118" s="31" t="s">
        <v>60</v>
      </c>
      <c r="E118" s="31" t="s">
        <v>63</v>
      </c>
      <c r="F118" s="31" t="n">
        <v>15</v>
      </c>
      <c r="G118" s="31" t="n">
        <v>18602</v>
      </c>
      <c r="H118" s="31" t="n">
        <v>5</v>
      </c>
      <c r="I118" s="32" t="n">
        <v>8.860000134</v>
      </c>
      <c r="J118" s="31" t="n">
        <v>1</v>
      </c>
      <c r="K118" s="31" t="n">
        <v>0</v>
      </c>
    </row>
    <row r="119" customFormat="false" ht="15" hidden="false" customHeight="false" outlineLevel="0" collapsed="false">
      <c r="A119" s="31" t="n">
        <v>748230</v>
      </c>
      <c r="B119" s="31" t="n">
        <v>936</v>
      </c>
      <c r="C119" s="31" t="n">
        <v>111006</v>
      </c>
      <c r="D119" s="31" t="s">
        <v>60</v>
      </c>
      <c r="E119" s="31" t="s">
        <v>63</v>
      </c>
      <c r="F119" s="31" t="n">
        <v>16</v>
      </c>
      <c r="G119" s="31" t="n">
        <v>83929</v>
      </c>
      <c r="H119" s="31" t="n">
        <v>21</v>
      </c>
      <c r="I119" s="32" t="n">
        <v>27.72999954</v>
      </c>
      <c r="J119" s="31" t="n">
        <v>4</v>
      </c>
      <c r="K119" s="31" t="n">
        <v>1</v>
      </c>
    </row>
    <row r="120" customFormat="false" ht="15" hidden="false" customHeight="false" outlineLevel="0" collapsed="false">
      <c r="A120" s="31" t="n">
        <v>748231</v>
      </c>
      <c r="B120" s="31" t="n">
        <v>936</v>
      </c>
      <c r="C120" s="31" t="n">
        <v>111006</v>
      </c>
      <c r="D120" s="31" t="s">
        <v>60</v>
      </c>
      <c r="E120" s="31" t="s">
        <v>63</v>
      </c>
      <c r="F120" s="31" t="n">
        <v>16</v>
      </c>
      <c r="G120" s="31" t="n">
        <v>25194</v>
      </c>
      <c r="H120" s="31" t="n">
        <v>6</v>
      </c>
      <c r="I120" s="32" t="n">
        <v>7.349999905</v>
      </c>
      <c r="J120" s="31" t="n">
        <v>1</v>
      </c>
      <c r="K120" s="31" t="n">
        <v>0</v>
      </c>
    </row>
    <row r="121" customFormat="false" ht="15" hidden="false" customHeight="false" outlineLevel="0" collapsed="false">
      <c r="A121" s="31" t="n">
        <v>748233</v>
      </c>
      <c r="B121" s="31" t="n">
        <v>936</v>
      </c>
      <c r="C121" s="31" t="n">
        <v>111006</v>
      </c>
      <c r="D121" s="31" t="s">
        <v>60</v>
      </c>
      <c r="E121" s="31" t="s">
        <v>63</v>
      </c>
      <c r="F121" s="31" t="n">
        <v>16</v>
      </c>
      <c r="G121" s="31" t="n">
        <v>78627</v>
      </c>
      <c r="H121" s="31" t="n">
        <v>19</v>
      </c>
      <c r="I121" s="32" t="n">
        <v>26.53000045</v>
      </c>
      <c r="J121" s="31" t="n">
        <v>1</v>
      </c>
      <c r="K121" s="31" t="n">
        <v>0</v>
      </c>
    </row>
    <row r="122" customFormat="false" ht="15" hidden="false" customHeight="false" outlineLevel="0" collapsed="false">
      <c r="A122" s="31" t="n">
        <v>748235</v>
      </c>
      <c r="B122" s="31" t="n">
        <v>936</v>
      </c>
      <c r="C122" s="31" t="n">
        <v>111006</v>
      </c>
      <c r="D122" s="31" t="s">
        <v>60</v>
      </c>
      <c r="E122" s="31" t="s">
        <v>63</v>
      </c>
      <c r="F122" s="31" t="n">
        <v>16</v>
      </c>
      <c r="G122" s="31" t="n">
        <v>102695</v>
      </c>
      <c r="H122" s="31" t="n">
        <v>25</v>
      </c>
      <c r="I122" s="32" t="n">
        <v>39.42999983</v>
      </c>
      <c r="J122" s="31" t="n">
        <v>3</v>
      </c>
      <c r="K122" s="31" t="n">
        <v>0</v>
      </c>
    </row>
    <row r="123" customFormat="false" ht="15" hidden="false" customHeight="false" outlineLevel="0" collapsed="false">
      <c r="A123" s="31" t="n">
        <v>748294</v>
      </c>
      <c r="B123" s="31" t="n">
        <v>936</v>
      </c>
      <c r="C123" s="31" t="n">
        <v>111016</v>
      </c>
      <c r="D123" s="31" t="s">
        <v>60</v>
      </c>
      <c r="E123" s="31" t="s">
        <v>63</v>
      </c>
      <c r="F123" s="31" t="n">
        <v>27</v>
      </c>
      <c r="G123" s="31" t="n">
        <v>82827</v>
      </c>
      <c r="H123" s="31" t="n">
        <v>24</v>
      </c>
      <c r="I123" s="32" t="n">
        <v>47.93000031</v>
      </c>
      <c r="J123" s="31" t="n">
        <v>3</v>
      </c>
      <c r="K123" s="31" t="n">
        <v>0</v>
      </c>
    </row>
    <row r="124" customFormat="false" ht="15" hidden="false" customHeight="false" outlineLevel="0" collapsed="false">
      <c r="A124" s="31" t="n">
        <v>748295</v>
      </c>
      <c r="B124" s="31" t="n">
        <v>936</v>
      </c>
      <c r="C124" s="31" t="n">
        <v>111016</v>
      </c>
      <c r="D124" s="31" t="s">
        <v>60</v>
      </c>
      <c r="E124" s="31" t="s">
        <v>63</v>
      </c>
      <c r="F124" s="31" t="n">
        <v>27</v>
      </c>
      <c r="G124" s="31" t="n">
        <v>9240</v>
      </c>
      <c r="H124" s="31" t="n">
        <v>3</v>
      </c>
      <c r="I124" s="32" t="n">
        <v>6.039999962</v>
      </c>
      <c r="J124" s="31" t="n">
        <v>1</v>
      </c>
      <c r="K124" s="31" t="n">
        <v>0</v>
      </c>
    </row>
    <row r="125" customFormat="false" ht="15" hidden="false" customHeight="false" outlineLevel="0" collapsed="false">
      <c r="A125" s="31" t="n">
        <v>748303</v>
      </c>
      <c r="B125" s="31" t="n">
        <v>936</v>
      </c>
      <c r="C125" s="31" t="n">
        <v>111018</v>
      </c>
      <c r="D125" s="31" t="s">
        <v>60</v>
      </c>
      <c r="E125" s="31" t="s">
        <v>63</v>
      </c>
      <c r="F125" s="31" t="n">
        <v>29</v>
      </c>
      <c r="G125" s="31" t="n">
        <v>7706</v>
      </c>
      <c r="H125" s="31" t="n">
        <v>2</v>
      </c>
      <c r="I125" s="32" t="n">
        <v>2.369999886</v>
      </c>
      <c r="J125" s="31" t="n">
        <v>1</v>
      </c>
      <c r="K125" s="31" t="n">
        <v>0</v>
      </c>
    </row>
    <row r="126" customFormat="false" ht="15" hidden="false" customHeight="false" outlineLevel="0" collapsed="false">
      <c r="A126" s="31" t="n">
        <v>748314</v>
      </c>
      <c r="B126" s="31" t="n">
        <v>936</v>
      </c>
      <c r="C126" s="31" t="n">
        <v>111020</v>
      </c>
      <c r="D126" s="31" t="s">
        <v>60</v>
      </c>
      <c r="E126" s="31" t="s">
        <v>63</v>
      </c>
      <c r="F126" s="31" t="n">
        <v>31</v>
      </c>
      <c r="G126" s="31" t="n">
        <v>7821</v>
      </c>
      <c r="H126" s="31" t="n">
        <v>4</v>
      </c>
      <c r="I126" s="32" t="n">
        <v>6.340000153</v>
      </c>
      <c r="J126" s="31" t="n">
        <v>1</v>
      </c>
      <c r="K126" s="31" t="n">
        <v>1</v>
      </c>
    </row>
    <row r="127" customFormat="false" ht="15" hidden="false" customHeight="false" outlineLevel="0" collapsed="false">
      <c r="A127" s="31" t="n">
        <v>776322</v>
      </c>
      <c r="B127" s="31" t="n">
        <v>936</v>
      </c>
      <c r="C127" s="31" t="n">
        <v>115485</v>
      </c>
      <c r="D127" s="31" t="s">
        <v>60</v>
      </c>
      <c r="E127" s="31" t="s">
        <v>63</v>
      </c>
      <c r="F127" s="31" t="n">
        <v>16</v>
      </c>
      <c r="G127" s="31" t="n">
        <v>119063</v>
      </c>
      <c r="H127" s="31" t="n">
        <v>34</v>
      </c>
      <c r="I127" s="32" t="n">
        <v>53.21999949</v>
      </c>
      <c r="J127" s="31" t="n">
        <v>1</v>
      </c>
      <c r="K127" s="31" t="n">
        <v>0</v>
      </c>
    </row>
    <row r="128" customFormat="false" ht="15" hidden="false" customHeight="false" outlineLevel="0" collapsed="false">
      <c r="A128" s="31" t="n">
        <v>776323</v>
      </c>
      <c r="B128" s="31" t="n">
        <v>936</v>
      </c>
      <c r="C128" s="31" t="n">
        <v>115485</v>
      </c>
      <c r="D128" s="31" t="s">
        <v>60</v>
      </c>
      <c r="E128" s="31" t="s">
        <v>63</v>
      </c>
      <c r="F128" s="31" t="n">
        <v>16</v>
      </c>
      <c r="G128" s="31" t="n">
        <v>99078</v>
      </c>
      <c r="H128" s="31" t="n">
        <v>23</v>
      </c>
      <c r="I128" s="32" t="n">
        <v>35.79999948</v>
      </c>
      <c r="J128" s="31" t="n">
        <v>2</v>
      </c>
      <c r="K128" s="31" t="n">
        <v>0</v>
      </c>
    </row>
    <row r="129" customFormat="false" ht="15" hidden="false" customHeight="false" outlineLevel="0" collapsed="false">
      <c r="A129" s="31" t="n">
        <v>776325</v>
      </c>
      <c r="B129" s="31" t="n">
        <v>936</v>
      </c>
      <c r="C129" s="31" t="n">
        <v>115485</v>
      </c>
      <c r="D129" s="31" t="s">
        <v>60</v>
      </c>
      <c r="E129" s="31" t="s">
        <v>63</v>
      </c>
      <c r="F129" s="31" t="n">
        <v>16</v>
      </c>
      <c r="G129" s="31" t="n">
        <v>452398</v>
      </c>
      <c r="H129" s="31" t="n">
        <v>114</v>
      </c>
      <c r="I129" s="32" t="n">
        <v>180.2200012</v>
      </c>
      <c r="J129" s="31" t="n">
        <v>1</v>
      </c>
      <c r="K129" s="31" t="n">
        <v>0</v>
      </c>
    </row>
    <row r="130" customFormat="false" ht="15" hidden="false" customHeight="false" outlineLevel="0" collapsed="false">
      <c r="A130" s="31" t="n">
        <v>776334</v>
      </c>
      <c r="B130" s="31" t="n">
        <v>936</v>
      </c>
      <c r="C130" s="31" t="n">
        <v>115487</v>
      </c>
      <c r="D130" s="31" t="s">
        <v>60</v>
      </c>
      <c r="E130" s="31" t="s">
        <v>63</v>
      </c>
      <c r="F130" s="31" t="n">
        <v>10</v>
      </c>
      <c r="G130" s="31" t="n">
        <v>191223</v>
      </c>
      <c r="H130" s="31" t="n">
        <v>48</v>
      </c>
      <c r="I130" s="32" t="n">
        <v>76.41000056</v>
      </c>
      <c r="J130" s="31" t="n">
        <v>1</v>
      </c>
      <c r="K130" s="31" t="n">
        <v>0</v>
      </c>
    </row>
    <row r="131" customFormat="false" ht="15" hidden="false" customHeight="false" outlineLevel="0" collapsed="false">
      <c r="A131" s="31" t="n">
        <v>776336</v>
      </c>
      <c r="B131" s="31" t="n">
        <v>936</v>
      </c>
      <c r="C131" s="31" t="n">
        <v>115487</v>
      </c>
      <c r="D131" s="31" t="s">
        <v>60</v>
      </c>
      <c r="E131" s="31" t="s">
        <v>63</v>
      </c>
      <c r="F131" s="31" t="n">
        <v>10</v>
      </c>
      <c r="G131" s="31" t="n">
        <v>22216</v>
      </c>
      <c r="H131" s="31" t="n">
        <v>6</v>
      </c>
      <c r="I131" s="32" t="n">
        <v>9.549999952</v>
      </c>
      <c r="J131" s="31" t="n">
        <v>1</v>
      </c>
      <c r="K131" s="31" t="n">
        <v>0</v>
      </c>
    </row>
    <row r="132" customFormat="false" ht="15" hidden="false" customHeight="false" outlineLevel="0" collapsed="false">
      <c r="A132" s="31" t="n">
        <v>776338</v>
      </c>
      <c r="B132" s="31" t="n">
        <v>936</v>
      </c>
      <c r="C132" s="31" t="n">
        <v>115487</v>
      </c>
      <c r="D132" s="31" t="s">
        <v>60</v>
      </c>
      <c r="E132" s="31" t="s">
        <v>63</v>
      </c>
      <c r="F132" s="31" t="n">
        <v>10</v>
      </c>
      <c r="G132" s="31" t="n">
        <v>48291</v>
      </c>
      <c r="H132" s="31" t="n">
        <v>11</v>
      </c>
      <c r="I132" s="32" t="n">
        <v>18.01999998</v>
      </c>
      <c r="J132" s="31" t="n">
        <v>1</v>
      </c>
      <c r="K132" s="31" t="n">
        <v>0</v>
      </c>
    </row>
    <row r="133" customFormat="false" ht="15" hidden="false" customHeight="false" outlineLevel="0" collapsed="false">
      <c r="A133" s="31" t="n">
        <v>776353</v>
      </c>
      <c r="B133" s="31" t="n">
        <v>936</v>
      </c>
      <c r="C133" s="31" t="n">
        <v>115490</v>
      </c>
      <c r="D133" s="31" t="s">
        <v>59</v>
      </c>
      <c r="E133" s="31" t="s">
        <v>63</v>
      </c>
      <c r="F133" s="31" t="n">
        <v>63</v>
      </c>
      <c r="G133" s="31" t="n">
        <v>27559</v>
      </c>
      <c r="H133" s="31" t="n">
        <v>8</v>
      </c>
      <c r="I133" s="32" t="n">
        <v>13.37</v>
      </c>
      <c r="J133" s="31" t="n">
        <v>1</v>
      </c>
      <c r="K133" s="31" t="n">
        <v>0</v>
      </c>
    </row>
    <row r="134" customFormat="false" ht="15" hidden="false" customHeight="false" outlineLevel="0" collapsed="false">
      <c r="A134" s="31" t="n">
        <v>776373</v>
      </c>
      <c r="B134" s="31" t="n">
        <v>936</v>
      </c>
      <c r="C134" s="31" t="n">
        <v>115493</v>
      </c>
      <c r="D134" s="31" t="s">
        <v>60</v>
      </c>
      <c r="E134" s="31" t="s">
        <v>63</v>
      </c>
      <c r="F134" s="31" t="n">
        <v>25</v>
      </c>
      <c r="G134" s="31" t="n">
        <v>10194</v>
      </c>
      <c r="H134" s="31" t="n">
        <v>4</v>
      </c>
      <c r="I134" s="32" t="n">
        <v>4.590000033</v>
      </c>
      <c r="J134" s="31" t="n">
        <v>2</v>
      </c>
      <c r="K134" s="31" t="n">
        <v>1</v>
      </c>
    </row>
    <row r="135" customFormat="false" ht="15" hidden="false" customHeight="false" outlineLevel="0" collapsed="false">
      <c r="A135" s="31" t="n">
        <v>776405</v>
      </c>
      <c r="B135" s="31" t="n">
        <v>936</v>
      </c>
      <c r="C135" s="31" t="n">
        <v>115498</v>
      </c>
      <c r="D135" s="31" t="s">
        <v>60</v>
      </c>
      <c r="E135" s="31" t="s">
        <v>63</v>
      </c>
      <c r="F135" s="31" t="n">
        <v>21</v>
      </c>
      <c r="G135" s="31" t="n">
        <v>40126</v>
      </c>
      <c r="H135" s="31" t="n">
        <v>16</v>
      </c>
      <c r="I135" s="32" t="n">
        <v>25.86000001</v>
      </c>
      <c r="J135" s="31" t="n">
        <v>1</v>
      </c>
      <c r="K135" s="31" t="n">
        <v>0</v>
      </c>
    </row>
    <row r="136" customFormat="false" ht="15" hidden="false" customHeight="false" outlineLevel="0" collapsed="false">
      <c r="A136" s="31" t="n">
        <v>776416</v>
      </c>
      <c r="B136" s="31" t="n">
        <v>936</v>
      </c>
      <c r="C136" s="31" t="n">
        <v>115500</v>
      </c>
      <c r="D136" s="31" t="s">
        <v>60</v>
      </c>
      <c r="E136" s="31" t="s">
        <v>63</v>
      </c>
      <c r="F136" s="31" t="n">
        <v>19</v>
      </c>
      <c r="G136" s="31" t="n">
        <v>3659</v>
      </c>
      <c r="H136" s="31" t="n">
        <v>1</v>
      </c>
      <c r="I136" s="32" t="n">
        <v>0.49000001</v>
      </c>
      <c r="J136" s="31" t="n">
        <v>1</v>
      </c>
      <c r="K136" s="31" t="n">
        <v>1</v>
      </c>
    </row>
    <row r="137" customFormat="false" ht="15" hidden="false" customHeight="false" outlineLevel="0" collapsed="false">
      <c r="A137" s="31" t="n">
        <v>776464</v>
      </c>
      <c r="B137" s="31" t="n">
        <v>936</v>
      </c>
      <c r="C137" s="31" t="n">
        <v>115508</v>
      </c>
      <c r="D137" s="31" t="s">
        <v>60</v>
      </c>
      <c r="E137" s="31" t="s">
        <v>63</v>
      </c>
      <c r="F137" s="31" t="n">
        <v>29</v>
      </c>
      <c r="G137" s="31" t="n">
        <v>7550</v>
      </c>
      <c r="H137" s="31" t="n">
        <v>1</v>
      </c>
      <c r="I137" s="32" t="n">
        <v>1.679999948</v>
      </c>
      <c r="J137" s="31" t="n">
        <v>1</v>
      </c>
      <c r="K137" s="31" t="n">
        <v>1</v>
      </c>
    </row>
    <row r="138" customFormat="false" ht="15" hidden="false" customHeight="false" outlineLevel="0" collapsed="false">
      <c r="A138" s="31" t="n">
        <v>776469</v>
      </c>
      <c r="B138" s="31" t="n">
        <v>936</v>
      </c>
      <c r="C138" s="31" t="n">
        <v>115509</v>
      </c>
      <c r="D138" s="31" t="s">
        <v>60</v>
      </c>
      <c r="E138" s="31" t="s">
        <v>63</v>
      </c>
      <c r="F138" s="31" t="n">
        <v>28</v>
      </c>
      <c r="G138" s="31" t="n">
        <v>45397</v>
      </c>
      <c r="H138" s="31" t="n">
        <v>15</v>
      </c>
      <c r="I138" s="32" t="n">
        <v>25.41999936</v>
      </c>
      <c r="J138" s="31" t="n">
        <v>1</v>
      </c>
      <c r="K138" s="31" t="n">
        <v>1</v>
      </c>
    </row>
    <row r="139" customFormat="false" ht="15" hidden="false" customHeight="false" outlineLevel="0" collapsed="false">
      <c r="A139" s="31" t="n">
        <v>776473</v>
      </c>
      <c r="B139" s="31" t="n">
        <v>936</v>
      </c>
      <c r="C139" s="31" t="n">
        <v>115510</v>
      </c>
      <c r="D139" s="31" t="s">
        <v>57</v>
      </c>
      <c r="E139" s="31" t="s">
        <v>64</v>
      </c>
      <c r="F139" s="31" t="n">
        <v>16</v>
      </c>
      <c r="G139" s="31" t="n">
        <v>23086</v>
      </c>
      <c r="H139" s="31" t="n">
        <v>2</v>
      </c>
      <c r="I139" s="32" t="n">
        <v>3.310000062</v>
      </c>
      <c r="J139" s="31" t="n">
        <v>1</v>
      </c>
      <c r="K139" s="31" t="n">
        <v>1</v>
      </c>
    </row>
    <row r="140" customFormat="false" ht="15" hidden="false" customHeight="false" outlineLevel="0" collapsed="false">
      <c r="A140" s="31" t="n">
        <v>776475</v>
      </c>
      <c r="B140" s="31" t="n">
        <v>936</v>
      </c>
      <c r="C140" s="31" t="n">
        <v>115510</v>
      </c>
      <c r="D140" s="31" t="s">
        <v>57</v>
      </c>
      <c r="E140" s="31" t="s">
        <v>64</v>
      </c>
      <c r="F140" s="31" t="n">
        <v>16</v>
      </c>
      <c r="G140" s="31" t="n">
        <v>16425</v>
      </c>
      <c r="H140" s="31" t="n">
        <v>1</v>
      </c>
      <c r="I140" s="32" t="n">
        <v>1.549999952</v>
      </c>
      <c r="J140" s="31" t="n">
        <v>1</v>
      </c>
      <c r="K140" s="31" t="n">
        <v>0</v>
      </c>
    </row>
    <row r="141" customFormat="false" ht="15" hidden="false" customHeight="false" outlineLevel="0" collapsed="false">
      <c r="A141" s="31" t="n">
        <v>776476</v>
      </c>
      <c r="B141" s="31" t="n">
        <v>936</v>
      </c>
      <c r="C141" s="31" t="n">
        <v>115510</v>
      </c>
      <c r="D141" s="31" t="s">
        <v>57</v>
      </c>
      <c r="E141" s="31" t="s">
        <v>64</v>
      </c>
      <c r="F141" s="31" t="n">
        <v>16</v>
      </c>
      <c r="G141" s="31" t="n">
        <v>43756</v>
      </c>
      <c r="H141" s="31" t="n">
        <v>5</v>
      </c>
      <c r="I141" s="32" t="n">
        <v>5.439999938</v>
      </c>
      <c r="J141" s="31" t="n">
        <v>0</v>
      </c>
      <c r="K141" s="31" t="n">
        <v>0</v>
      </c>
    </row>
    <row r="142" customFormat="false" ht="15" hidden="false" customHeight="false" outlineLevel="0" collapsed="false">
      <c r="A142" s="31" t="n">
        <v>776489</v>
      </c>
      <c r="B142" s="31" t="n">
        <v>936</v>
      </c>
      <c r="C142" s="31" t="n">
        <v>115512</v>
      </c>
      <c r="D142" s="31" t="s">
        <v>60</v>
      </c>
      <c r="E142" s="31" t="s">
        <v>63</v>
      </c>
      <c r="F142" s="31" t="n">
        <v>26</v>
      </c>
      <c r="G142" s="31" t="n">
        <v>175389</v>
      </c>
      <c r="H142" s="31" t="n">
        <v>55</v>
      </c>
      <c r="I142" s="32" t="n">
        <v>81.60999787</v>
      </c>
      <c r="J142" s="31" t="n">
        <v>1</v>
      </c>
      <c r="K142" s="31" t="n">
        <v>0</v>
      </c>
    </row>
    <row r="143" customFormat="false" ht="15" hidden="false" customHeight="false" outlineLevel="0" collapsed="false">
      <c r="A143" s="31" t="n">
        <v>776515</v>
      </c>
      <c r="B143" s="31" t="n">
        <v>936</v>
      </c>
      <c r="C143" s="31" t="n">
        <v>115517</v>
      </c>
      <c r="D143" s="31" t="s">
        <v>60</v>
      </c>
      <c r="E143" s="31" t="s">
        <v>63</v>
      </c>
      <c r="F143" s="31" t="n">
        <v>65</v>
      </c>
      <c r="G143" s="31" t="n">
        <v>12706</v>
      </c>
      <c r="H143" s="31" t="n">
        <v>3</v>
      </c>
      <c r="I143" s="32" t="n">
        <v>4.98999989</v>
      </c>
      <c r="J143" s="31" t="n">
        <v>1</v>
      </c>
      <c r="K143" s="31" t="n">
        <v>1</v>
      </c>
    </row>
    <row r="144" customFormat="false" ht="15" hidden="false" customHeight="false" outlineLevel="0" collapsed="false">
      <c r="A144" s="31" t="n">
        <v>776519</v>
      </c>
      <c r="B144" s="31" t="n">
        <v>936</v>
      </c>
      <c r="C144" s="31" t="n">
        <v>115517</v>
      </c>
      <c r="D144" s="31" t="s">
        <v>60</v>
      </c>
      <c r="E144" s="31" t="s">
        <v>63</v>
      </c>
      <c r="F144" s="31" t="n">
        <v>65</v>
      </c>
      <c r="G144" s="31" t="n">
        <v>70702</v>
      </c>
      <c r="H144" s="31" t="n">
        <v>20</v>
      </c>
      <c r="I144" s="32" t="n">
        <v>31.7099998</v>
      </c>
      <c r="J144" s="31" t="n">
        <v>1</v>
      </c>
      <c r="K144" s="31" t="n">
        <v>0</v>
      </c>
    </row>
    <row r="145" customFormat="false" ht="15" hidden="false" customHeight="false" outlineLevel="0" collapsed="false">
      <c r="A145" s="31" t="n">
        <v>776533</v>
      </c>
      <c r="B145" s="31" t="n">
        <v>936</v>
      </c>
      <c r="C145" s="31" t="n">
        <v>115520</v>
      </c>
      <c r="D145" s="31" t="s">
        <v>60</v>
      </c>
      <c r="E145" s="31" t="s">
        <v>63</v>
      </c>
      <c r="F145" s="31" t="n">
        <v>63</v>
      </c>
      <c r="G145" s="31" t="n">
        <v>63927</v>
      </c>
      <c r="H145" s="31" t="n">
        <v>16</v>
      </c>
      <c r="I145" s="32" t="n">
        <v>25.52000046</v>
      </c>
      <c r="J145" s="31" t="n">
        <v>2</v>
      </c>
      <c r="K145" s="31" t="n">
        <v>0</v>
      </c>
    </row>
    <row r="146" customFormat="false" ht="15" hidden="false" customHeight="false" outlineLevel="0" collapsed="false">
      <c r="A146" s="31" t="n">
        <v>776534</v>
      </c>
      <c r="B146" s="31" t="n">
        <v>936</v>
      </c>
      <c r="C146" s="31" t="n">
        <v>115520</v>
      </c>
      <c r="D146" s="31" t="s">
        <v>60</v>
      </c>
      <c r="E146" s="31" t="s">
        <v>63</v>
      </c>
      <c r="F146" s="31" t="n">
        <v>63</v>
      </c>
      <c r="G146" s="31" t="n">
        <v>15105</v>
      </c>
      <c r="H146" s="31" t="n">
        <v>3</v>
      </c>
      <c r="I146" s="32" t="n">
        <v>4.25999999</v>
      </c>
      <c r="J146" s="31" t="n">
        <v>1</v>
      </c>
      <c r="K146" s="31" t="n">
        <v>0</v>
      </c>
    </row>
    <row r="147" customFormat="false" ht="15" hidden="false" customHeight="false" outlineLevel="0" collapsed="false">
      <c r="A147" s="31" t="n">
        <v>776538</v>
      </c>
      <c r="B147" s="31" t="n">
        <v>936</v>
      </c>
      <c r="C147" s="31" t="n">
        <v>115521</v>
      </c>
      <c r="D147" s="31" t="s">
        <v>57</v>
      </c>
      <c r="E147" s="31" t="s">
        <v>63</v>
      </c>
      <c r="F147" s="31" t="n">
        <v>15</v>
      </c>
      <c r="G147" s="31" t="n">
        <v>8774</v>
      </c>
      <c r="H147" s="31" t="n">
        <v>1</v>
      </c>
      <c r="I147" s="32" t="n">
        <v>1.830000043</v>
      </c>
      <c r="J147" s="31" t="n">
        <v>1</v>
      </c>
      <c r="K147" s="31" t="n">
        <v>0</v>
      </c>
    </row>
    <row r="148" customFormat="false" ht="15" hidden="false" customHeight="false" outlineLevel="0" collapsed="false">
      <c r="A148" s="31" t="n">
        <v>776551</v>
      </c>
      <c r="B148" s="31" t="n">
        <v>936</v>
      </c>
      <c r="C148" s="31" t="n">
        <v>115523</v>
      </c>
      <c r="D148" s="31" t="s">
        <v>57</v>
      </c>
      <c r="E148" s="31" t="s">
        <v>63</v>
      </c>
      <c r="F148" s="31" t="n">
        <v>16</v>
      </c>
      <c r="G148" s="31" t="n">
        <v>14459</v>
      </c>
      <c r="H148" s="31" t="n">
        <v>1</v>
      </c>
      <c r="I148" s="32" t="n">
        <v>1.389999986</v>
      </c>
      <c r="J148" s="31" t="n">
        <v>1</v>
      </c>
      <c r="K148" s="31" t="n">
        <v>0</v>
      </c>
    </row>
    <row r="149" customFormat="false" ht="15" hidden="false" customHeight="false" outlineLevel="0" collapsed="false">
      <c r="A149" s="31" t="n">
        <v>776552</v>
      </c>
      <c r="B149" s="31" t="n">
        <v>936</v>
      </c>
      <c r="C149" s="31" t="n">
        <v>115523</v>
      </c>
      <c r="D149" s="31" t="s">
        <v>57</v>
      </c>
      <c r="E149" s="31" t="s">
        <v>63</v>
      </c>
      <c r="F149" s="31" t="n">
        <v>16</v>
      </c>
      <c r="G149" s="31" t="n">
        <v>21596</v>
      </c>
      <c r="H149" s="31" t="n">
        <v>2</v>
      </c>
      <c r="I149" s="32" t="n">
        <v>2.809999943</v>
      </c>
      <c r="J149" s="31" t="n">
        <v>1</v>
      </c>
      <c r="K149" s="31" t="n">
        <v>0</v>
      </c>
    </row>
    <row r="150" customFormat="false" ht="15" hidden="false" customHeight="false" outlineLevel="0" collapsed="false">
      <c r="A150" s="31" t="n">
        <v>776553</v>
      </c>
      <c r="B150" s="31" t="n">
        <v>936</v>
      </c>
      <c r="C150" s="31" t="n">
        <v>115523</v>
      </c>
      <c r="D150" s="31" t="s">
        <v>57</v>
      </c>
      <c r="E150" s="31" t="s">
        <v>63</v>
      </c>
      <c r="F150" s="31" t="n">
        <v>16</v>
      </c>
      <c r="G150" s="31" t="n">
        <v>66765</v>
      </c>
      <c r="H150" s="31" t="n">
        <v>8</v>
      </c>
      <c r="I150" s="32" t="n">
        <v>11.04999971</v>
      </c>
      <c r="J150" s="31" t="n">
        <v>1</v>
      </c>
      <c r="K150" s="31" t="n">
        <v>0</v>
      </c>
    </row>
    <row r="151" customFormat="false" ht="15" hidden="false" customHeight="false" outlineLevel="0" collapsed="false">
      <c r="A151" s="31" t="n">
        <v>776579</v>
      </c>
      <c r="B151" s="31" t="n">
        <v>936</v>
      </c>
      <c r="C151" s="31" t="n">
        <v>115527</v>
      </c>
      <c r="D151" s="31" t="s">
        <v>57</v>
      </c>
      <c r="E151" s="31" t="s">
        <v>63</v>
      </c>
      <c r="F151" s="31" t="n">
        <v>10</v>
      </c>
      <c r="G151" s="31" t="n">
        <v>26910</v>
      </c>
      <c r="H151" s="31" t="n">
        <v>5</v>
      </c>
      <c r="I151" s="32" t="n">
        <v>7.229999781</v>
      </c>
      <c r="J151" s="31" t="n">
        <v>1</v>
      </c>
      <c r="K151" s="31" t="n">
        <v>0</v>
      </c>
    </row>
    <row r="152" customFormat="false" ht="15" hidden="false" customHeight="false" outlineLevel="0" collapsed="false">
      <c r="A152" s="31" t="n">
        <v>776615</v>
      </c>
      <c r="B152" s="31" t="n">
        <v>936</v>
      </c>
      <c r="C152" s="31" t="n">
        <v>115533</v>
      </c>
      <c r="D152" s="31" t="s">
        <v>60</v>
      </c>
      <c r="E152" s="31" t="s">
        <v>64</v>
      </c>
      <c r="F152" s="31" t="n">
        <v>63</v>
      </c>
      <c r="G152" s="31" t="n">
        <v>11988</v>
      </c>
      <c r="H152" s="31" t="n">
        <v>3</v>
      </c>
      <c r="I152" s="32" t="n">
        <v>4.269999862</v>
      </c>
      <c r="J152" s="31" t="n">
        <v>1</v>
      </c>
      <c r="K152" s="31" t="n">
        <v>0</v>
      </c>
    </row>
    <row r="153" customFormat="false" ht="15" hidden="false" customHeight="false" outlineLevel="0" collapsed="false">
      <c r="A153" s="31" t="n">
        <v>776623</v>
      </c>
      <c r="B153" s="31" t="n">
        <v>936</v>
      </c>
      <c r="C153" s="31" t="n">
        <v>115535</v>
      </c>
      <c r="D153" s="31" t="s">
        <v>60</v>
      </c>
      <c r="E153" s="31" t="s">
        <v>64</v>
      </c>
      <c r="F153" s="31" t="n">
        <v>64</v>
      </c>
      <c r="G153" s="31" t="n">
        <v>19353</v>
      </c>
      <c r="H153" s="31" t="n">
        <v>6</v>
      </c>
      <c r="I153" s="32" t="n">
        <v>9.4799999</v>
      </c>
      <c r="J153" s="31" t="n">
        <v>1</v>
      </c>
      <c r="K153" s="31" t="n">
        <v>1</v>
      </c>
    </row>
    <row r="154" customFormat="false" ht="15" hidden="false" customHeight="false" outlineLevel="0" collapsed="false">
      <c r="A154" s="31" t="n">
        <v>776631</v>
      </c>
      <c r="B154" s="31" t="n">
        <v>936</v>
      </c>
      <c r="C154" s="31" t="n">
        <v>115536</v>
      </c>
      <c r="D154" s="31" t="s">
        <v>59</v>
      </c>
      <c r="E154" s="31" t="s">
        <v>64</v>
      </c>
      <c r="F154" s="31" t="n">
        <v>29</v>
      </c>
      <c r="G154" s="31" t="n">
        <v>10960</v>
      </c>
      <c r="H154" s="31" t="n">
        <v>2</v>
      </c>
      <c r="I154" s="32" t="n">
        <v>2.890000105</v>
      </c>
      <c r="J154" s="31" t="n">
        <v>1</v>
      </c>
      <c r="K154" s="31" t="n">
        <v>0</v>
      </c>
    </row>
    <row r="155" customFormat="false" ht="15" hidden="false" customHeight="false" outlineLevel="0" collapsed="false">
      <c r="A155" s="31" t="n">
        <v>776643</v>
      </c>
      <c r="B155" s="31" t="n">
        <v>936</v>
      </c>
      <c r="C155" s="31" t="n">
        <v>115538</v>
      </c>
      <c r="D155" s="31" t="s">
        <v>57</v>
      </c>
      <c r="E155" s="31" t="s">
        <v>64</v>
      </c>
      <c r="F155" s="31" t="n">
        <v>15</v>
      </c>
      <c r="G155" s="31" t="n">
        <v>33491</v>
      </c>
      <c r="H155" s="31" t="n">
        <v>6</v>
      </c>
      <c r="I155" s="32" t="n">
        <v>10.56999969</v>
      </c>
      <c r="J155" s="31" t="n">
        <v>2</v>
      </c>
      <c r="K155" s="31" t="n">
        <v>1</v>
      </c>
    </row>
    <row r="156" customFormat="false" ht="15" hidden="false" customHeight="false" outlineLevel="0" collapsed="false">
      <c r="A156" s="31" t="n">
        <v>776644</v>
      </c>
      <c r="B156" s="31" t="n">
        <v>936</v>
      </c>
      <c r="C156" s="31" t="n">
        <v>115538</v>
      </c>
      <c r="D156" s="31" t="s">
        <v>57</v>
      </c>
      <c r="E156" s="31" t="s">
        <v>64</v>
      </c>
      <c r="F156" s="31" t="n">
        <v>15</v>
      </c>
      <c r="G156" s="31" t="n">
        <v>20083</v>
      </c>
      <c r="H156" s="31" t="n">
        <v>2</v>
      </c>
      <c r="I156" s="32" t="n">
        <v>3.200000048</v>
      </c>
      <c r="J156" s="31" t="n">
        <v>2</v>
      </c>
      <c r="K156" s="31" t="n">
        <v>1</v>
      </c>
    </row>
    <row r="157" customFormat="false" ht="15" hidden="false" customHeight="false" outlineLevel="0" collapsed="false">
      <c r="A157" s="31" t="n">
        <v>776661</v>
      </c>
      <c r="B157" s="31" t="n">
        <v>936</v>
      </c>
      <c r="C157" s="31" t="n">
        <v>115541</v>
      </c>
      <c r="D157" s="31" t="s">
        <v>57</v>
      </c>
      <c r="E157" s="31" t="s">
        <v>64</v>
      </c>
      <c r="F157" s="31" t="n">
        <v>16</v>
      </c>
      <c r="G157" s="31" t="n">
        <v>15466</v>
      </c>
      <c r="H157" s="31" t="n">
        <v>1</v>
      </c>
      <c r="I157" s="32" t="n">
        <v>0.970000029</v>
      </c>
      <c r="J157" s="31" t="n">
        <v>1</v>
      </c>
      <c r="K157" s="31" t="n">
        <v>0</v>
      </c>
    </row>
    <row r="158" customFormat="false" ht="15" hidden="false" customHeight="false" outlineLevel="0" collapsed="false">
      <c r="A158" s="31" t="n">
        <v>776662</v>
      </c>
      <c r="B158" s="31" t="n">
        <v>936</v>
      </c>
      <c r="C158" s="31" t="n">
        <v>115541</v>
      </c>
      <c r="D158" s="31" t="s">
        <v>57</v>
      </c>
      <c r="E158" s="31" t="s">
        <v>64</v>
      </c>
      <c r="F158" s="31" t="n">
        <v>16</v>
      </c>
      <c r="G158" s="31" t="n">
        <v>27072</v>
      </c>
      <c r="H158" s="31" t="n">
        <v>3</v>
      </c>
      <c r="I158" s="32" t="n">
        <v>4.370000005</v>
      </c>
      <c r="J158" s="31" t="n">
        <v>1</v>
      </c>
      <c r="K158" s="31" t="n">
        <v>0</v>
      </c>
    </row>
    <row r="159" customFormat="false" ht="15" hidden="false" customHeight="false" outlineLevel="0" collapsed="false">
      <c r="A159" s="31" t="n">
        <v>776663</v>
      </c>
      <c r="B159" s="31" t="n">
        <v>936</v>
      </c>
      <c r="C159" s="31" t="n">
        <v>115541</v>
      </c>
      <c r="D159" s="31" t="s">
        <v>57</v>
      </c>
      <c r="E159" s="31" t="s">
        <v>64</v>
      </c>
      <c r="F159" s="31" t="n">
        <v>16</v>
      </c>
      <c r="G159" s="31" t="n">
        <v>15753</v>
      </c>
      <c r="H159" s="31" t="n">
        <v>1</v>
      </c>
      <c r="I159" s="32" t="n">
        <v>0.569999993</v>
      </c>
      <c r="J159" s="31" t="n">
        <v>1</v>
      </c>
      <c r="K159" s="31" t="n">
        <v>1</v>
      </c>
    </row>
    <row r="160" customFormat="false" ht="15" hidden="false" customHeight="false" outlineLevel="0" collapsed="false">
      <c r="A160" s="31" t="n">
        <v>776668</v>
      </c>
      <c r="B160" s="31" t="n">
        <v>936</v>
      </c>
      <c r="C160" s="31" t="n">
        <v>115542</v>
      </c>
      <c r="D160" s="31" t="s">
        <v>59</v>
      </c>
      <c r="E160" s="31" t="s">
        <v>64</v>
      </c>
      <c r="F160" s="31" t="n">
        <v>19</v>
      </c>
      <c r="G160" s="31" t="n">
        <v>3523</v>
      </c>
      <c r="H160" s="31" t="n">
        <v>1</v>
      </c>
      <c r="I160" s="32" t="n">
        <v>1.809999943</v>
      </c>
      <c r="J160" s="31" t="n">
        <v>1</v>
      </c>
      <c r="K160" s="31" t="n">
        <v>1</v>
      </c>
    </row>
    <row r="161" customFormat="false" ht="15" hidden="false" customHeight="false" outlineLevel="0" collapsed="false">
      <c r="A161" s="31" t="n">
        <v>776686</v>
      </c>
      <c r="B161" s="31" t="n">
        <v>936</v>
      </c>
      <c r="C161" s="31" t="n">
        <v>115545</v>
      </c>
      <c r="D161" s="31" t="s">
        <v>59</v>
      </c>
      <c r="E161" s="31" t="s">
        <v>64</v>
      </c>
      <c r="F161" s="31" t="n">
        <v>16</v>
      </c>
      <c r="G161" s="31" t="n">
        <v>18709</v>
      </c>
      <c r="H161" s="31" t="n">
        <v>2</v>
      </c>
      <c r="I161" s="32" t="n">
        <v>3.319999933</v>
      </c>
      <c r="J161" s="31" t="n">
        <v>1</v>
      </c>
      <c r="K161" s="31" t="n">
        <v>0</v>
      </c>
    </row>
    <row r="162" customFormat="false" ht="15" hidden="false" customHeight="false" outlineLevel="0" collapsed="false">
      <c r="A162" s="31" t="n">
        <v>776696</v>
      </c>
      <c r="B162" s="31" t="n">
        <v>936</v>
      </c>
      <c r="C162" s="31" t="n">
        <v>115547</v>
      </c>
      <c r="D162" s="31" t="s">
        <v>57</v>
      </c>
      <c r="E162" s="31" t="s">
        <v>64</v>
      </c>
      <c r="F162" s="31" t="n">
        <v>10</v>
      </c>
      <c r="G162" s="31" t="n">
        <v>7966</v>
      </c>
      <c r="H162" s="31" t="n">
        <v>1</v>
      </c>
      <c r="I162" s="32" t="n">
        <v>1.179999948</v>
      </c>
      <c r="J162" s="31" t="n">
        <v>1</v>
      </c>
      <c r="K162" s="31" t="n">
        <v>1</v>
      </c>
    </row>
    <row r="163" customFormat="false" ht="15" hidden="false" customHeight="false" outlineLevel="0" collapsed="false">
      <c r="A163" s="31" t="n">
        <v>776698</v>
      </c>
      <c r="B163" s="31" t="n">
        <v>936</v>
      </c>
      <c r="C163" s="31" t="n">
        <v>115547</v>
      </c>
      <c r="D163" s="31" t="s">
        <v>57</v>
      </c>
      <c r="E163" s="31" t="s">
        <v>64</v>
      </c>
      <c r="F163" s="31" t="n">
        <v>10</v>
      </c>
      <c r="G163" s="31" t="n">
        <v>12785</v>
      </c>
      <c r="H163" s="31" t="n">
        <v>3</v>
      </c>
      <c r="I163" s="32" t="n">
        <v>4.730000019</v>
      </c>
      <c r="J163" s="31" t="n">
        <v>2</v>
      </c>
      <c r="K163" s="31" t="n">
        <v>1</v>
      </c>
    </row>
    <row r="164" customFormat="false" ht="15" hidden="false" customHeight="false" outlineLevel="0" collapsed="false">
      <c r="A164" s="31" t="n">
        <v>776699</v>
      </c>
      <c r="B164" s="31" t="n">
        <v>936</v>
      </c>
      <c r="C164" s="31" t="n">
        <v>115547</v>
      </c>
      <c r="D164" s="31" t="s">
        <v>57</v>
      </c>
      <c r="E164" s="31" t="s">
        <v>64</v>
      </c>
      <c r="F164" s="31" t="n">
        <v>10</v>
      </c>
      <c r="G164" s="31" t="n">
        <v>8213</v>
      </c>
      <c r="H164" s="31" t="n">
        <v>1</v>
      </c>
      <c r="I164" s="32" t="n">
        <v>1.379999995</v>
      </c>
      <c r="J164" s="31" t="n">
        <v>1</v>
      </c>
      <c r="K164" s="31" t="n">
        <v>1</v>
      </c>
    </row>
    <row r="165" customFormat="false" ht="15" hidden="false" customHeight="false" outlineLevel="0" collapsed="false">
      <c r="A165" s="31" t="n">
        <v>776725</v>
      </c>
      <c r="B165" s="31" t="n">
        <v>936</v>
      </c>
      <c r="C165" s="31" t="n">
        <v>115552</v>
      </c>
      <c r="D165" s="31" t="s">
        <v>59</v>
      </c>
      <c r="E165" s="31" t="s">
        <v>64</v>
      </c>
      <c r="F165" s="31" t="n">
        <v>23</v>
      </c>
      <c r="G165" s="31" t="n">
        <v>2479</v>
      </c>
      <c r="H165" s="31" t="n">
        <v>1</v>
      </c>
      <c r="I165" s="32" t="n">
        <v>1.25999999</v>
      </c>
      <c r="J165" s="31" t="n">
        <v>1</v>
      </c>
      <c r="K165" s="31" t="n">
        <v>0</v>
      </c>
    </row>
    <row r="166" customFormat="false" ht="15" hidden="false" customHeight="false" outlineLevel="0" collapsed="false">
      <c r="A166" s="31" t="n">
        <v>776780</v>
      </c>
      <c r="B166" s="31" t="n">
        <v>936</v>
      </c>
      <c r="C166" s="31" t="n">
        <v>115561</v>
      </c>
      <c r="D166" s="31" t="s">
        <v>59</v>
      </c>
      <c r="E166" s="31" t="s">
        <v>64</v>
      </c>
      <c r="F166" s="31" t="n">
        <v>2</v>
      </c>
      <c r="G166" s="31" t="n">
        <v>3812</v>
      </c>
      <c r="H166" s="31" t="n">
        <v>2</v>
      </c>
      <c r="I166" s="32" t="n">
        <v>3.049999952</v>
      </c>
      <c r="J166" s="31" t="n">
        <v>1</v>
      </c>
      <c r="K166" s="31" t="n">
        <v>0</v>
      </c>
    </row>
    <row r="167" customFormat="false" ht="15" hidden="false" customHeight="false" outlineLevel="0" collapsed="false">
      <c r="A167" s="31" t="n">
        <v>776799</v>
      </c>
      <c r="B167" s="31" t="n">
        <v>936</v>
      </c>
      <c r="C167" s="31" t="n">
        <v>115564</v>
      </c>
      <c r="D167" s="31" t="s">
        <v>60</v>
      </c>
      <c r="E167" s="31" t="s">
        <v>64</v>
      </c>
      <c r="F167" s="31" t="n">
        <v>20</v>
      </c>
      <c r="G167" s="31" t="n">
        <v>10257</v>
      </c>
      <c r="H167" s="31" t="n">
        <v>3</v>
      </c>
      <c r="I167" s="32" t="n">
        <v>3.579999924</v>
      </c>
      <c r="J167" s="31" t="n">
        <v>1</v>
      </c>
      <c r="K167" s="31" t="n">
        <v>1</v>
      </c>
    </row>
    <row r="168" customFormat="false" ht="15" hidden="false" customHeight="false" outlineLevel="0" collapsed="false">
      <c r="A168" s="31" t="n">
        <v>776817</v>
      </c>
      <c r="B168" s="31" t="n">
        <v>936</v>
      </c>
      <c r="C168" s="31" t="n">
        <v>115567</v>
      </c>
      <c r="D168" s="31" t="s">
        <v>59</v>
      </c>
      <c r="E168" s="31" t="s">
        <v>64</v>
      </c>
      <c r="F168" s="31" t="n">
        <v>10</v>
      </c>
      <c r="G168" s="31" t="n">
        <v>12356</v>
      </c>
      <c r="H168" s="31" t="n">
        <v>4</v>
      </c>
      <c r="I168" s="32" t="n">
        <v>6.279999971</v>
      </c>
      <c r="J168" s="31" t="n">
        <v>1</v>
      </c>
      <c r="K168" s="31" t="n">
        <v>0</v>
      </c>
    </row>
    <row r="169" customFormat="false" ht="15" hidden="false" customHeight="false" outlineLevel="0" collapsed="false">
      <c r="A169" s="31" t="n">
        <v>776825</v>
      </c>
      <c r="B169" s="31" t="n">
        <v>936</v>
      </c>
      <c r="C169" s="31" t="n">
        <v>115568</v>
      </c>
      <c r="D169" s="31" t="s">
        <v>60</v>
      </c>
      <c r="E169" s="31" t="s">
        <v>64</v>
      </c>
      <c r="F169" s="31" t="n">
        <v>18</v>
      </c>
      <c r="G169" s="31" t="n">
        <v>7410</v>
      </c>
      <c r="H169" s="31" t="n">
        <v>1</v>
      </c>
      <c r="I169" s="32" t="n">
        <v>1.210000038</v>
      </c>
      <c r="J169" s="31" t="n">
        <v>1</v>
      </c>
      <c r="K169" s="31" t="n">
        <v>0</v>
      </c>
    </row>
    <row r="170" customFormat="false" ht="15" hidden="false" customHeight="false" outlineLevel="0" collapsed="false">
      <c r="A170" s="31" t="n">
        <v>776829</v>
      </c>
      <c r="B170" s="31" t="n">
        <v>936</v>
      </c>
      <c r="C170" s="31" t="n">
        <v>115569</v>
      </c>
      <c r="D170" s="31" t="s">
        <v>60</v>
      </c>
      <c r="E170" s="31" t="s">
        <v>64</v>
      </c>
      <c r="F170" s="31" t="n">
        <v>16</v>
      </c>
      <c r="G170" s="31" t="n">
        <v>140098</v>
      </c>
      <c r="H170" s="31" t="n">
        <v>28</v>
      </c>
      <c r="I170" s="32" t="n">
        <v>46.63000011</v>
      </c>
      <c r="J170" s="31" t="n">
        <v>1</v>
      </c>
      <c r="K170" s="31" t="n">
        <v>0</v>
      </c>
    </row>
    <row r="171" customFormat="false" ht="15" hidden="false" customHeight="false" outlineLevel="0" collapsed="false">
      <c r="A171" s="31" t="n">
        <v>776831</v>
      </c>
      <c r="B171" s="31" t="n">
        <v>936</v>
      </c>
      <c r="C171" s="31" t="n">
        <v>115569</v>
      </c>
      <c r="D171" s="31" t="s">
        <v>60</v>
      </c>
      <c r="E171" s="31" t="s">
        <v>64</v>
      </c>
      <c r="F171" s="31" t="n">
        <v>16</v>
      </c>
      <c r="G171" s="31" t="n">
        <v>107021</v>
      </c>
      <c r="H171" s="31" t="n">
        <v>20</v>
      </c>
      <c r="I171" s="32" t="n">
        <v>34.44000012</v>
      </c>
      <c r="J171" s="31" t="n">
        <v>1</v>
      </c>
      <c r="K171" s="31" t="n">
        <v>0</v>
      </c>
    </row>
    <row r="172" customFormat="false" ht="15" hidden="false" customHeight="false" outlineLevel="0" collapsed="false">
      <c r="A172" s="31" t="n">
        <v>776840</v>
      </c>
      <c r="B172" s="31" t="n">
        <v>936</v>
      </c>
      <c r="C172" s="31" t="n">
        <v>115571</v>
      </c>
      <c r="D172" s="31" t="s">
        <v>58</v>
      </c>
      <c r="E172" s="31" t="s">
        <v>64</v>
      </c>
      <c r="F172" s="31" t="n">
        <v>36</v>
      </c>
      <c r="G172" s="31" t="n">
        <v>2797</v>
      </c>
      <c r="H172" s="31" t="n">
        <v>1</v>
      </c>
      <c r="I172" s="32" t="n">
        <v>1.289999962</v>
      </c>
      <c r="J172" s="31" t="n">
        <v>1</v>
      </c>
      <c r="K172" s="31" t="n">
        <v>0</v>
      </c>
    </row>
    <row r="173" customFormat="false" ht="15" hidden="false" customHeight="false" outlineLevel="0" collapsed="false">
      <c r="A173" s="31" t="n">
        <v>776861</v>
      </c>
      <c r="B173" s="31" t="n">
        <v>936</v>
      </c>
      <c r="C173" s="31" t="n">
        <v>115574</v>
      </c>
      <c r="D173" s="31" t="s">
        <v>60</v>
      </c>
      <c r="E173" s="31" t="s">
        <v>64</v>
      </c>
      <c r="F173" s="31" t="n">
        <v>7</v>
      </c>
      <c r="G173" s="31" t="n">
        <v>16461</v>
      </c>
      <c r="H173" s="31" t="n">
        <v>6</v>
      </c>
      <c r="I173" s="32" t="n">
        <v>9.21999979</v>
      </c>
      <c r="J173" s="31" t="n">
        <v>1</v>
      </c>
      <c r="K173" s="31" t="n">
        <v>0</v>
      </c>
    </row>
    <row r="174" customFormat="false" ht="15" hidden="false" customHeight="false" outlineLevel="0" collapsed="false">
      <c r="A174" s="31" t="n">
        <v>776892</v>
      </c>
      <c r="B174" s="31" t="n">
        <v>936</v>
      </c>
      <c r="C174" s="31" t="n">
        <v>115580</v>
      </c>
      <c r="D174" s="31" t="s">
        <v>59</v>
      </c>
      <c r="E174" s="31" t="s">
        <v>64</v>
      </c>
      <c r="F174" s="31" t="n">
        <v>63</v>
      </c>
      <c r="G174" s="31" t="n">
        <v>17488</v>
      </c>
      <c r="H174" s="31" t="n">
        <v>5</v>
      </c>
      <c r="I174" s="32" t="n">
        <v>7.719999909</v>
      </c>
      <c r="J174" s="31" t="n">
        <v>1</v>
      </c>
      <c r="K174" s="31" t="n">
        <v>0</v>
      </c>
    </row>
    <row r="175" customFormat="false" ht="15" hidden="false" customHeight="false" outlineLevel="0" collapsed="false">
      <c r="A175" s="31" t="n">
        <v>776928</v>
      </c>
      <c r="B175" s="31" t="n">
        <v>936</v>
      </c>
      <c r="C175" s="31" t="n">
        <v>115586</v>
      </c>
      <c r="D175" s="31" t="s">
        <v>58</v>
      </c>
      <c r="E175" s="31" t="s">
        <v>64</v>
      </c>
      <c r="F175" s="31" t="n">
        <v>10</v>
      </c>
      <c r="G175" s="31" t="n">
        <v>9750</v>
      </c>
      <c r="H175" s="31" t="n">
        <v>2</v>
      </c>
      <c r="I175" s="32" t="n">
        <v>1.5</v>
      </c>
      <c r="J175" s="31" t="n">
        <v>1</v>
      </c>
      <c r="K175" s="31" t="n">
        <v>1</v>
      </c>
    </row>
    <row r="176" customFormat="false" ht="15" hidden="false" customHeight="false" outlineLevel="0" collapsed="false">
      <c r="A176" s="31" t="n">
        <v>777105</v>
      </c>
      <c r="B176" s="31" t="n">
        <v>936</v>
      </c>
      <c r="C176" s="31" t="n">
        <v>115615</v>
      </c>
      <c r="D176" s="31" t="s">
        <v>60</v>
      </c>
      <c r="E176" s="31" t="s">
        <v>64</v>
      </c>
      <c r="F176" s="31" t="n">
        <v>63</v>
      </c>
      <c r="G176" s="31" t="n">
        <v>4333</v>
      </c>
      <c r="H176" s="31" t="n">
        <v>1</v>
      </c>
      <c r="I176" s="32" t="n">
        <v>0.180000007</v>
      </c>
      <c r="J176" s="31" t="n">
        <v>1</v>
      </c>
      <c r="K176" s="31" t="n">
        <v>1</v>
      </c>
    </row>
    <row r="177" customFormat="false" ht="15" hidden="false" customHeight="false" outlineLevel="0" collapsed="false">
      <c r="A177" s="31" t="n">
        <v>777187</v>
      </c>
      <c r="B177" s="31" t="n">
        <v>936</v>
      </c>
      <c r="C177" s="31" t="n">
        <v>115629</v>
      </c>
      <c r="D177" s="31" t="s">
        <v>59</v>
      </c>
      <c r="E177" s="31" t="s">
        <v>64</v>
      </c>
      <c r="F177" s="31" t="n">
        <v>27</v>
      </c>
      <c r="G177" s="31" t="n">
        <v>11292</v>
      </c>
      <c r="H177" s="31" t="n">
        <v>3</v>
      </c>
      <c r="I177" s="32" t="n">
        <v>5.389999866</v>
      </c>
      <c r="J177" s="31" t="n">
        <v>1</v>
      </c>
      <c r="K177" s="31" t="n">
        <v>1</v>
      </c>
    </row>
    <row r="178" customFormat="false" ht="15" hidden="false" customHeight="false" outlineLevel="0" collapsed="false">
      <c r="A178" s="31" t="n">
        <v>777198</v>
      </c>
      <c r="B178" s="31" t="n">
        <v>936</v>
      </c>
      <c r="C178" s="31" t="n">
        <v>115631</v>
      </c>
      <c r="D178" s="31" t="s">
        <v>57</v>
      </c>
      <c r="E178" s="31" t="s">
        <v>64</v>
      </c>
      <c r="F178" s="31" t="n">
        <v>64</v>
      </c>
      <c r="G178" s="31" t="n">
        <v>12729</v>
      </c>
      <c r="H178" s="31" t="n">
        <v>4</v>
      </c>
      <c r="I178" s="32" t="n">
        <v>5.779999852</v>
      </c>
      <c r="J178" s="31" t="n">
        <v>1</v>
      </c>
      <c r="K178" s="31" t="n">
        <v>0</v>
      </c>
    </row>
    <row r="179" customFormat="false" ht="15" hidden="false" customHeight="false" outlineLevel="0" collapsed="false">
      <c r="A179" s="31" t="n">
        <v>777235</v>
      </c>
      <c r="B179" s="31" t="n">
        <v>936</v>
      </c>
      <c r="C179" s="31" t="n">
        <v>115637</v>
      </c>
      <c r="D179" s="31" t="s">
        <v>57</v>
      </c>
      <c r="E179" s="31" t="s">
        <v>64</v>
      </c>
      <c r="F179" s="31" t="n">
        <v>65</v>
      </c>
      <c r="G179" s="31" t="n">
        <v>2883</v>
      </c>
      <c r="H179" s="31" t="n">
        <v>1</v>
      </c>
      <c r="I179" s="32" t="n">
        <v>0.99000001</v>
      </c>
      <c r="J179" s="31" t="n">
        <v>1</v>
      </c>
      <c r="K179" s="31" t="n">
        <v>1</v>
      </c>
    </row>
    <row r="180" customFormat="false" ht="15" hidden="false" customHeight="false" outlineLevel="0" collapsed="false">
      <c r="A180" s="31" t="n">
        <v>777248</v>
      </c>
      <c r="B180" s="31" t="n">
        <v>936</v>
      </c>
      <c r="C180" s="31" t="n">
        <v>115639</v>
      </c>
      <c r="D180" s="31" t="s">
        <v>57</v>
      </c>
      <c r="E180" s="31" t="s">
        <v>63</v>
      </c>
      <c r="F180" s="31" t="n">
        <v>7</v>
      </c>
      <c r="G180" s="31" t="n">
        <v>3989</v>
      </c>
      <c r="H180" s="31" t="n">
        <v>1</v>
      </c>
      <c r="I180" s="32" t="n">
        <v>1.279999971</v>
      </c>
      <c r="J180" s="31" t="n">
        <v>1</v>
      </c>
      <c r="K180" s="31" t="n">
        <v>0</v>
      </c>
    </row>
    <row r="181" customFormat="false" ht="15" hidden="false" customHeight="false" outlineLevel="0" collapsed="false">
      <c r="A181" s="31" t="n">
        <v>777261</v>
      </c>
      <c r="B181" s="31" t="n">
        <v>936</v>
      </c>
      <c r="C181" s="31" t="n">
        <v>115641</v>
      </c>
      <c r="D181" s="31" t="s">
        <v>59</v>
      </c>
      <c r="E181" s="31" t="s">
        <v>64</v>
      </c>
      <c r="F181" s="31" t="n">
        <v>29</v>
      </c>
      <c r="G181" s="31" t="n">
        <v>19603</v>
      </c>
      <c r="H181" s="31" t="n">
        <v>4</v>
      </c>
      <c r="I181" s="32" t="n">
        <v>5.279999971</v>
      </c>
      <c r="J181" s="31" t="n">
        <v>1</v>
      </c>
      <c r="K181" s="31" t="n">
        <v>1</v>
      </c>
    </row>
    <row r="182" customFormat="false" ht="15" hidden="false" customHeight="false" outlineLevel="0" collapsed="false">
      <c r="A182" s="31" t="n">
        <v>777382</v>
      </c>
      <c r="B182" s="31" t="n">
        <v>936</v>
      </c>
      <c r="C182" s="31" t="n">
        <v>115675</v>
      </c>
      <c r="D182" s="31" t="s">
        <v>59</v>
      </c>
      <c r="E182" s="31" t="s">
        <v>64</v>
      </c>
      <c r="F182" s="31" t="n">
        <v>24</v>
      </c>
      <c r="G182" s="31" t="n">
        <v>3047</v>
      </c>
      <c r="H182" s="31" t="n">
        <v>1</v>
      </c>
      <c r="I182" s="32" t="n">
        <v>1.379999995</v>
      </c>
      <c r="J182" s="31" t="n">
        <v>1</v>
      </c>
      <c r="K182" s="31" t="n">
        <v>0</v>
      </c>
    </row>
    <row r="183" customFormat="false" ht="15" hidden="false" customHeight="false" outlineLevel="0" collapsed="false">
      <c r="A183" s="31" t="n">
        <v>777398</v>
      </c>
      <c r="B183" s="31" t="n">
        <v>936</v>
      </c>
      <c r="C183" s="31" t="n">
        <v>115677</v>
      </c>
      <c r="D183" s="31" t="s">
        <v>58</v>
      </c>
      <c r="E183" s="31" t="s">
        <v>64</v>
      </c>
      <c r="F183" s="31" t="n">
        <v>24</v>
      </c>
      <c r="G183" s="31" t="n">
        <v>3029</v>
      </c>
      <c r="H183" s="31" t="n">
        <v>1</v>
      </c>
      <c r="I183" s="32" t="n">
        <v>1.049999952</v>
      </c>
      <c r="J183" s="31" t="n">
        <v>1</v>
      </c>
      <c r="K183" s="31" t="n">
        <v>1</v>
      </c>
    </row>
    <row r="184" customFormat="false" ht="15" hidden="false" customHeight="false" outlineLevel="0" collapsed="false">
      <c r="A184" s="31" t="n">
        <v>777410</v>
      </c>
      <c r="B184" s="31" t="n">
        <v>936</v>
      </c>
      <c r="C184" s="31" t="n">
        <v>115679</v>
      </c>
      <c r="D184" s="31" t="s">
        <v>60</v>
      </c>
      <c r="E184" s="31" t="s">
        <v>64</v>
      </c>
      <c r="F184" s="31" t="n">
        <v>26</v>
      </c>
      <c r="G184" s="31" t="n">
        <v>3490</v>
      </c>
      <c r="H184" s="31" t="n">
        <v>1</v>
      </c>
      <c r="I184" s="32" t="n">
        <v>1.340000033</v>
      </c>
      <c r="J184" s="31" t="n">
        <v>1</v>
      </c>
      <c r="K184" s="31" t="n">
        <v>1</v>
      </c>
    </row>
    <row r="185" customFormat="false" ht="15" hidden="false" customHeight="false" outlineLevel="0" collapsed="false">
      <c r="A185" s="31" t="n">
        <v>777495</v>
      </c>
      <c r="B185" s="31" t="n">
        <v>936</v>
      </c>
      <c r="C185" s="31" t="n">
        <v>115693</v>
      </c>
      <c r="D185" s="31" t="s">
        <v>59</v>
      </c>
      <c r="E185" s="31" t="s">
        <v>64</v>
      </c>
      <c r="F185" s="31" t="n">
        <v>19</v>
      </c>
      <c r="G185" s="31" t="n">
        <v>19581</v>
      </c>
      <c r="H185" s="31" t="n">
        <v>7</v>
      </c>
      <c r="I185" s="32" t="n">
        <v>10.42999983</v>
      </c>
      <c r="J185" s="31" t="n">
        <v>2</v>
      </c>
      <c r="K185" s="31" t="n">
        <v>0</v>
      </c>
    </row>
    <row r="186" customFormat="false" ht="15" hidden="false" customHeight="false" outlineLevel="0" collapsed="false">
      <c r="A186" s="31" t="n">
        <v>777519</v>
      </c>
      <c r="B186" s="31" t="n">
        <v>936</v>
      </c>
      <c r="C186" s="31" t="n">
        <v>115697</v>
      </c>
      <c r="D186" s="31" t="s">
        <v>60</v>
      </c>
      <c r="E186" s="31" t="s">
        <v>64</v>
      </c>
      <c r="F186" s="31" t="n">
        <v>29</v>
      </c>
      <c r="G186" s="31" t="n">
        <v>19537</v>
      </c>
      <c r="H186" s="31" t="n">
        <v>5</v>
      </c>
      <c r="I186" s="32" t="n">
        <v>6.099999905</v>
      </c>
      <c r="J186" s="31" t="n">
        <v>1</v>
      </c>
      <c r="K186" s="31" t="n">
        <v>0</v>
      </c>
    </row>
    <row r="187" customFormat="false" ht="15" hidden="false" customHeight="false" outlineLevel="0" collapsed="false">
      <c r="A187" s="31" t="n">
        <v>777625</v>
      </c>
      <c r="B187" s="31" t="n">
        <v>936</v>
      </c>
      <c r="C187" s="31" t="n">
        <v>115715</v>
      </c>
      <c r="D187" s="31" t="s">
        <v>60</v>
      </c>
      <c r="E187" s="31" t="s">
        <v>64</v>
      </c>
      <c r="F187" s="31" t="n">
        <v>16</v>
      </c>
      <c r="G187" s="31" t="n">
        <v>59433</v>
      </c>
      <c r="H187" s="31" t="n">
        <v>12</v>
      </c>
      <c r="I187" s="32" t="n">
        <v>19.65999949</v>
      </c>
      <c r="J187" s="31" t="n">
        <v>3</v>
      </c>
      <c r="K187" s="31" t="n">
        <v>0</v>
      </c>
    </row>
    <row r="188" customFormat="false" ht="15" hidden="false" customHeight="false" outlineLevel="0" collapsed="false">
      <c r="A188" s="31" t="n">
        <v>777627</v>
      </c>
      <c r="B188" s="31" t="n">
        <v>936</v>
      </c>
      <c r="C188" s="31" t="n">
        <v>115715</v>
      </c>
      <c r="D188" s="31" t="s">
        <v>60</v>
      </c>
      <c r="E188" s="31" t="s">
        <v>64</v>
      </c>
      <c r="F188" s="31" t="n">
        <v>16</v>
      </c>
      <c r="G188" s="31" t="n">
        <v>157534</v>
      </c>
      <c r="H188" s="31" t="n">
        <v>33</v>
      </c>
      <c r="I188" s="32" t="n">
        <v>56.19000077</v>
      </c>
      <c r="J188" s="31" t="n">
        <v>2</v>
      </c>
      <c r="K188" s="31" t="n">
        <v>0</v>
      </c>
    </row>
    <row r="189" customFormat="false" ht="15" hidden="false" customHeight="false" outlineLevel="0" collapsed="false">
      <c r="A189" s="31" t="n">
        <v>777670</v>
      </c>
      <c r="B189" s="31" t="n">
        <v>936</v>
      </c>
      <c r="C189" s="31" t="n">
        <v>115723</v>
      </c>
      <c r="D189" s="31" t="s">
        <v>59</v>
      </c>
      <c r="E189" s="31" t="s">
        <v>64</v>
      </c>
      <c r="F189" s="31" t="n">
        <v>16</v>
      </c>
      <c r="G189" s="31" t="n">
        <v>23769</v>
      </c>
      <c r="H189" s="31" t="n">
        <v>4</v>
      </c>
      <c r="I189" s="32" t="n">
        <v>6.029999852</v>
      </c>
      <c r="J189" s="31" t="n">
        <v>1</v>
      </c>
      <c r="K189" s="31" t="n">
        <v>0</v>
      </c>
    </row>
    <row r="190" customFormat="false" ht="15" hidden="false" customHeight="false" outlineLevel="0" collapsed="false">
      <c r="A190" s="31" t="n">
        <v>777742</v>
      </c>
      <c r="B190" s="31" t="n">
        <v>936</v>
      </c>
      <c r="C190" s="31" t="n">
        <v>115735</v>
      </c>
      <c r="D190" s="31" t="s">
        <v>58</v>
      </c>
      <c r="E190" s="31" t="s">
        <v>64</v>
      </c>
      <c r="F190" s="31" t="n">
        <v>64</v>
      </c>
      <c r="G190" s="31" t="n">
        <v>4726</v>
      </c>
      <c r="H190" s="31" t="n">
        <v>1</v>
      </c>
      <c r="I190" s="32" t="n">
        <v>1.830000043</v>
      </c>
      <c r="J190" s="31" t="n">
        <v>1</v>
      </c>
      <c r="K190" s="31" t="n">
        <v>1</v>
      </c>
    </row>
    <row r="191" customFormat="false" ht="15" hidden="false" customHeight="false" outlineLevel="0" collapsed="false">
      <c r="A191" s="31" t="n">
        <v>777758</v>
      </c>
      <c r="B191" s="31" t="n">
        <v>936</v>
      </c>
      <c r="C191" s="31" t="n">
        <v>115737</v>
      </c>
      <c r="D191" s="31" t="s">
        <v>57</v>
      </c>
      <c r="E191" s="31" t="s">
        <v>64</v>
      </c>
      <c r="F191" s="31" t="n">
        <v>19</v>
      </c>
      <c r="G191" s="31" t="n">
        <v>5209</v>
      </c>
      <c r="H191" s="31" t="n">
        <v>1</v>
      </c>
      <c r="I191" s="32" t="n">
        <v>0.959999979</v>
      </c>
      <c r="J191" s="31" t="n">
        <v>2</v>
      </c>
      <c r="K191" s="31" t="n">
        <v>0</v>
      </c>
    </row>
    <row r="192" customFormat="false" ht="15" hidden="false" customHeight="false" outlineLevel="0" collapsed="false">
      <c r="A192" s="31" t="n">
        <v>777794</v>
      </c>
      <c r="B192" s="31" t="n">
        <v>936</v>
      </c>
      <c r="C192" s="31" t="n">
        <v>115743</v>
      </c>
      <c r="D192" s="31" t="s">
        <v>57</v>
      </c>
      <c r="E192" s="31" t="s">
        <v>64</v>
      </c>
      <c r="F192" s="31" t="n">
        <v>18</v>
      </c>
      <c r="G192" s="31" t="n">
        <v>13473</v>
      </c>
      <c r="H192" s="31" t="n">
        <v>3</v>
      </c>
      <c r="I192" s="32" t="n">
        <v>2.619999945</v>
      </c>
      <c r="J192" s="31" t="n">
        <v>3</v>
      </c>
      <c r="K192" s="31" t="n">
        <v>0</v>
      </c>
    </row>
    <row r="193" customFormat="false" ht="15" hidden="false" customHeight="false" outlineLevel="0" collapsed="false">
      <c r="A193" s="31" t="n">
        <v>777871</v>
      </c>
      <c r="B193" s="31" t="n">
        <v>936</v>
      </c>
      <c r="C193" s="31" t="n">
        <v>115756</v>
      </c>
      <c r="D193" s="31" t="s">
        <v>57</v>
      </c>
      <c r="E193" s="31" t="s">
        <v>64</v>
      </c>
      <c r="F193" s="31" t="n">
        <v>20</v>
      </c>
      <c r="G193" s="31" t="n">
        <v>4616</v>
      </c>
      <c r="H193" s="31" t="n">
        <v>1</v>
      </c>
      <c r="I193" s="32" t="n">
        <v>1.360000014</v>
      </c>
      <c r="J193" s="31" t="n">
        <v>1</v>
      </c>
      <c r="K193" s="31" t="n">
        <v>0</v>
      </c>
    </row>
    <row r="194" customFormat="false" ht="15" hidden="false" customHeight="false" outlineLevel="0" collapsed="false">
      <c r="A194" s="31" t="n">
        <v>778037</v>
      </c>
      <c r="B194" s="31" t="n">
        <v>936</v>
      </c>
      <c r="C194" s="31" t="n">
        <v>115784</v>
      </c>
      <c r="D194" s="31" t="s">
        <v>58</v>
      </c>
      <c r="E194" s="31" t="s">
        <v>64</v>
      </c>
      <c r="F194" s="31" t="n">
        <v>27</v>
      </c>
      <c r="G194" s="31" t="n">
        <v>14615</v>
      </c>
      <c r="H194" s="31" t="n">
        <v>4</v>
      </c>
      <c r="I194" s="32" t="n">
        <v>6.050000191</v>
      </c>
      <c r="J194" s="31" t="n">
        <v>1</v>
      </c>
      <c r="K194" s="31" t="n">
        <v>0</v>
      </c>
    </row>
    <row r="195" customFormat="false" ht="15" hidden="false" customHeight="false" outlineLevel="0" collapsed="false">
      <c r="A195" s="31" t="n">
        <v>778048</v>
      </c>
      <c r="B195" s="31" t="n">
        <v>936</v>
      </c>
      <c r="C195" s="31" t="n">
        <v>115786</v>
      </c>
      <c r="D195" s="31" t="s">
        <v>57</v>
      </c>
      <c r="E195" s="31" t="s">
        <v>64</v>
      </c>
      <c r="F195" s="31" t="n">
        <v>27</v>
      </c>
      <c r="G195" s="31" t="n">
        <v>56615</v>
      </c>
      <c r="H195" s="31" t="n">
        <v>12</v>
      </c>
      <c r="I195" s="32" t="n">
        <v>19.88000035</v>
      </c>
      <c r="J195" s="31" t="n">
        <v>2</v>
      </c>
      <c r="K195" s="31" t="n">
        <v>0</v>
      </c>
    </row>
    <row r="196" customFormat="false" ht="15" hidden="false" customHeight="false" outlineLevel="0" collapsed="false">
      <c r="A196" s="31" t="n">
        <v>778085</v>
      </c>
      <c r="B196" s="31" t="n">
        <v>936</v>
      </c>
      <c r="C196" s="31" t="n">
        <v>115792</v>
      </c>
      <c r="D196" s="31" t="s">
        <v>57</v>
      </c>
      <c r="E196" s="31" t="s">
        <v>64</v>
      </c>
      <c r="F196" s="31" t="n">
        <v>26</v>
      </c>
      <c r="G196" s="31" t="n">
        <v>11735</v>
      </c>
      <c r="H196" s="31" t="n">
        <v>3</v>
      </c>
      <c r="I196" s="32" t="n">
        <v>4.529999971</v>
      </c>
      <c r="J196" s="31" t="n">
        <v>1</v>
      </c>
      <c r="K196" s="31" t="n">
        <v>1</v>
      </c>
    </row>
    <row r="197" customFormat="false" ht="15" hidden="false" customHeight="false" outlineLevel="0" collapsed="false">
      <c r="A197" s="31" t="n">
        <v>778087</v>
      </c>
      <c r="B197" s="31" t="n">
        <v>936</v>
      </c>
      <c r="C197" s="31" t="n">
        <v>115792</v>
      </c>
      <c r="D197" s="31" t="s">
        <v>57</v>
      </c>
      <c r="E197" s="31" t="s">
        <v>64</v>
      </c>
      <c r="F197" s="31" t="n">
        <v>26</v>
      </c>
      <c r="G197" s="31" t="n">
        <v>15910</v>
      </c>
      <c r="H197" s="31" t="n">
        <v>5</v>
      </c>
      <c r="I197" s="32" t="n">
        <v>6.779999852</v>
      </c>
      <c r="J197" s="31" t="n">
        <v>1</v>
      </c>
      <c r="K197" s="31" t="n">
        <v>0</v>
      </c>
    </row>
    <row r="198" customFormat="false" ht="15" hidden="false" customHeight="false" outlineLevel="0" collapsed="false">
      <c r="A198" s="31" t="n">
        <v>778112</v>
      </c>
      <c r="B198" s="31" t="n">
        <v>936</v>
      </c>
      <c r="C198" s="31" t="n">
        <v>115796</v>
      </c>
      <c r="D198" s="31" t="s">
        <v>58</v>
      </c>
      <c r="E198" s="31" t="s">
        <v>64</v>
      </c>
      <c r="F198" s="31" t="n">
        <v>29</v>
      </c>
      <c r="G198" s="31" t="n">
        <v>11446</v>
      </c>
      <c r="H198" s="31" t="n">
        <v>2</v>
      </c>
      <c r="I198" s="32" t="n">
        <v>3.090000033</v>
      </c>
      <c r="J198" s="31" t="n">
        <v>1</v>
      </c>
      <c r="K198" s="31" t="n">
        <v>1</v>
      </c>
    </row>
    <row r="199" customFormat="false" ht="15" hidden="false" customHeight="false" outlineLevel="0" collapsed="false">
      <c r="A199" s="31" t="n">
        <v>778156</v>
      </c>
      <c r="B199" s="31" t="n">
        <v>936</v>
      </c>
      <c r="C199" s="31" t="n">
        <v>115804</v>
      </c>
      <c r="D199" s="31" t="s">
        <v>57</v>
      </c>
      <c r="E199" s="31" t="s">
        <v>64</v>
      </c>
      <c r="F199" s="31" t="n">
        <v>28</v>
      </c>
      <c r="G199" s="31" t="n">
        <v>9388</v>
      </c>
      <c r="H199" s="31" t="n">
        <v>2</v>
      </c>
      <c r="I199" s="32" t="n">
        <v>3.140000105</v>
      </c>
      <c r="J199" s="31" t="n">
        <v>1</v>
      </c>
      <c r="K199" s="31" t="n">
        <v>0</v>
      </c>
    </row>
    <row r="200" customFormat="false" ht="15" hidden="false" customHeight="false" outlineLevel="0" collapsed="false">
      <c r="A200" s="31" t="n">
        <v>778161</v>
      </c>
      <c r="B200" s="31" t="n">
        <v>936</v>
      </c>
      <c r="C200" s="31" t="n">
        <v>115804</v>
      </c>
      <c r="D200" s="31" t="s">
        <v>57</v>
      </c>
      <c r="E200" s="31" t="s">
        <v>64</v>
      </c>
      <c r="F200" s="31" t="n">
        <v>28</v>
      </c>
      <c r="G200" s="31" t="n">
        <v>17954</v>
      </c>
      <c r="H200" s="31" t="n">
        <v>6</v>
      </c>
      <c r="I200" s="32" t="n">
        <v>7.5400002</v>
      </c>
      <c r="J200" s="31" t="n">
        <v>2</v>
      </c>
      <c r="K200" s="31" t="n">
        <v>1</v>
      </c>
    </row>
    <row r="201" customFormat="false" ht="15" hidden="false" customHeight="false" outlineLevel="0" collapsed="false">
      <c r="A201" s="31" t="n">
        <v>778264</v>
      </c>
      <c r="B201" s="31" t="n">
        <v>936</v>
      </c>
      <c r="C201" s="31" t="n">
        <v>115822</v>
      </c>
      <c r="D201" s="31" t="s">
        <v>59</v>
      </c>
      <c r="E201" s="31" t="s">
        <v>63</v>
      </c>
      <c r="F201" s="31" t="n">
        <v>27</v>
      </c>
      <c r="G201" s="31" t="n">
        <v>8152</v>
      </c>
      <c r="H201" s="31" t="n">
        <v>1</v>
      </c>
      <c r="I201" s="32" t="n">
        <v>0.99000001</v>
      </c>
      <c r="J201" s="31" t="n">
        <v>1</v>
      </c>
      <c r="K201" s="31" t="n">
        <v>0</v>
      </c>
    </row>
    <row r="202" customFormat="false" ht="15" hidden="false" customHeight="false" outlineLevel="0" collapsed="false">
      <c r="A202" s="31" t="n">
        <v>778266</v>
      </c>
      <c r="B202" s="31" t="n">
        <v>936</v>
      </c>
      <c r="C202" s="31" t="n">
        <v>115822</v>
      </c>
      <c r="D202" s="31" t="s">
        <v>59</v>
      </c>
      <c r="E202" s="31" t="s">
        <v>63</v>
      </c>
      <c r="F202" s="31" t="n">
        <v>27</v>
      </c>
      <c r="G202" s="31" t="n">
        <v>74542</v>
      </c>
      <c r="H202" s="31" t="n">
        <v>19</v>
      </c>
      <c r="I202" s="32" t="n">
        <v>34.1500001</v>
      </c>
      <c r="J202" s="31" t="n">
        <v>1</v>
      </c>
      <c r="K202" s="31" t="n">
        <v>0</v>
      </c>
    </row>
    <row r="203" customFormat="false" ht="15" hidden="false" customHeight="false" outlineLevel="0" collapsed="false">
      <c r="A203" s="31" t="n">
        <v>778421</v>
      </c>
      <c r="B203" s="31" t="n">
        <v>936</v>
      </c>
      <c r="C203" s="31" t="n">
        <v>115848</v>
      </c>
      <c r="D203" s="31" t="s">
        <v>59</v>
      </c>
      <c r="E203" s="31" t="s">
        <v>63</v>
      </c>
      <c r="F203" s="31" t="n">
        <v>20</v>
      </c>
      <c r="G203" s="31" t="n">
        <v>6699</v>
      </c>
      <c r="H203" s="31" t="n">
        <v>2</v>
      </c>
      <c r="I203" s="32" t="n">
        <v>3.090000033</v>
      </c>
      <c r="J203" s="31" t="n">
        <v>1</v>
      </c>
      <c r="K203" s="31" t="n">
        <v>0</v>
      </c>
    </row>
    <row r="204" customFormat="false" ht="15" hidden="false" customHeight="false" outlineLevel="0" collapsed="false">
      <c r="A204" s="31" t="n">
        <v>778422</v>
      </c>
      <c r="B204" s="31" t="n">
        <v>936</v>
      </c>
      <c r="C204" s="31" t="n">
        <v>115848</v>
      </c>
      <c r="D204" s="31" t="s">
        <v>59</v>
      </c>
      <c r="E204" s="31" t="s">
        <v>63</v>
      </c>
      <c r="F204" s="31" t="n">
        <v>20</v>
      </c>
      <c r="G204" s="31" t="n">
        <v>11911</v>
      </c>
      <c r="H204" s="31" t="n">
        <v>4</v>
      </c>
      <c r="I204" s="32" t="n">
        <v>3.959999919</v>
      </c>
      <c r="J204" s="31" t="n">
        <v>1</v>
      </c>
      <c r="K204" s="31" t="n">
        <v>0</v>
      </c>
    </row>
    <row r="205" customFormat="false" ht="15" hidden="false" customHeight="false" outlineLevel="0" collapsed="false">
      <c r="A205" s="31" t="n">
        <v>778461</v>
      </c>
      <c r="B205" s="31" t="n">
        <v>936</v>
      </c>
      <c r="C205" s="31" t="n">
        <v>115854</v>
      </c>
      <c r="D205" s="31" t="s">
        <v>59</v>
      </c>
      <c r="E205" s="31" t="s">
        <v>64</v>
      </c>
      <c r="F205" s="31" t="n">
        <v>29</v>
      </c>
      <c r="G205" s="31" t="n">
        <v>10090</v>
      </c>
      <c r="H205" s="31" t="n">
        <v>2</v>
      </c>
      <c r="I205" s="32" t="n">
        <v>2.650000095</v>
      </c>
      <c r="J205" s="31" t="n">
        <v>1</v>
      </c>
      <c r="K205" s="31" t="n">
        <v>1</v>
      </c>
    </row>
    <row r="206" customFormat="false" ht="15" hidden="false" customHeight="false" outlineLevel="0" collapsed="false">
      <c r="A206" s="31" t="n">
        <v>778483</v>
      </c>
      <c r="B206" s="31" t="n">
        <v>936</v>
      </c>
      <c r="C206" s="31" t="n">
        <v>115858</v>
      </c>
      <c r="D206" s="31" t="s">
        <v>59</v>
      </c>
      <c r="E206" s="31" t="s">
        <v>63</v>
      </c>
      <c r="F206" s="31" t="n">
        <v>18</v>
      </c>
      <c r="G206" s="31" t="n">
        <v>24188</v>
      </c>
      <c r="H206" s="31" t="n">
        <v>5</v>
      </c>
      <c r="I206" s="32" t="n">
        <v>8.179999828</v>
      </c>
      <c r="J206" s="31" t="n">
        <v>1</v>
      </c>
      <c r="K206" s="31" t="n">
        <v>0</v>
      </c>
    </row>
    <row r="207" customFormat="false" ht="15" hidden="false" customHeight="false" outlineLevel="0" collapsed="false">
      <c r="A207" s="31" t="n">
        <v>778556</v>
      </c>
      <c r="B207" s="31" t="n">
        <v>936</v>
      </c>
      <c r="C207" s="31" t="n">
        <v>115870</v>
      </c>
      <c r="D207" s="31" t="s">
        <v>59</v>
      </c>
      <c r="E207" s="31" t="s">
        <v>64</v>
      </c>
      <c r="F207" s="31" t="n">
        <v>32</v>
      </c>
      <c r="G207" s="31" t="n">
        <v>9735</v>
      </c>
      <c r="H207" s="31" t="n">
        <v>4</v>
      </c>
      <c r="I207" s="32" t="n">
        <v>4.130000114</v>
      </c>
      <c r="J207" s="31" t="n">
        <v>1</v>
      </c>
      <c r="K207" s="31" t="n">
        <v>1</v>
      </c>
    </row>
    <row r="208" customFormat="false" ht="15" hidden="false" customHeight="false" outlineLevel="0" collapsed="false">
      <c r="A208" s="31" t="n">
        <v>778600</v>
      </c>
      <c r="B208" s="31" t="n">
        <v>936</v>
      </c>
      <c r="C208" s="31" t="n">
        <v>115878</v>
      </c>
      <c r="D208" s="31" t="s">
        <v>59</v>
      </c>
      <c r="E208" s="31" t="s">
        <v>63</v>
      </c>
      <c r="F208" s="31" t="n">
        <v>22</v>
      </c>
      <c r="G208" s="31" t="n">
        <v>10750</v>
      </c>
      <c r="H208" s="31" t="n">
        <v>4</v>
      </c>
      <c r="I208" s="32" t="n">
        <v>5.389999866</v>
      </c>
      <c r="J208" s="31" t="n">
        <v>1</v>
      </c>
      <c r="K208" s="31" t="n">
        <v>0</v>
      </c>
    </row>
    <row r="209" customFormat="false" ht="15" hidden="false" customHeight="false" outlineLevel="0" collapsed="false">
      <c r="A209" s="31" t="n">
        <v>778626</v>
      </c>
      <c r="B209" s="31" t="n">
        <v>936</v>
      </c>
      <c r="C209" s="31" t="n">
        <v>115882</v>
      </c>
      <c r="D209" s="31" t="s">
        <v>57</v>
      </c>
      <c r="E209" s="31" t="s">
        <v>64</v>
      </c>
      <c r="F209" s="31" t="n">
        <v>29</v>
      </c>
      <c r="G209" s="31" t="n">
        <v>7629</v>
      </c>
      <c r="H209" s="31" t="n">
        <v>1</v>
      </c>
      <c r="I209" s="32" t="n">
        <v>0.720000029</v>
      </c>
      <c r="J209" s="31" t="n">
        <v>1</v>
      </c>
      <c r="K209" s="31" t="n">
        <v>1</v>
      </c>
    </row>
    <row r="210" customFormat="false" ht="15" hidden="false" customHeight="false" outlineLevel="0" collapsed="false">
      <c r="A210" s="31" t="n">
        <v>778689</v>
      </c>
      <c r="B210" s="31" t="n">
        <v>936</v>
      </c>
      <c r="C210" s="31" t="n">
        <v>115892</v>
      </c>
      <c r="D210" s="31" t="s">
        <v>57</v>
      </c>
      <c r="E210" s="31" t="s">
        <v>64</v>
      </c>
      <c r="F210" s="31" t="n">
        <v>28</v>
      </c>
      <c r="G210" s="31" t="n">
        <v>7453</v>
      </c>
      <c r="H210" s="31" t="n">
        <v>1</v>
      </c>
      <c r="I210" s="32" t="n">
        <v>1.679999948</v>
      </c>
      <c r="J210" s="31" t="n">
        <v>1</v>
      </c>
      <c r="K210" s="31" t="n">
        <v>1</v>
      </c>
    </row>
    <row r="211" customFormat="false" ht="15" hidden="false" customHeight="false" outlineLevel="0" collapsed="false">
      <c r="A211" s="31" t="n">
        <v>778722</v>
      </c>
      <c r="B211" s="31" t="n">
        <v>936</v>
      </c>
      <c r="C211" s="31" t="n">
        <v>115898</v>
      </c>
      <c r="D211" s="31" t="s">
        <v>58</v>
      </c>
      <c r="E211" s="31" t="s">
        <v>63</v>
      </c>
      <c r="F211" s="31" t="n">
        <v>64</v>
      </c>
      <c r="G211" s="31" t="n">
        <v>41785</v>
      </c>
      <c r="H211" s="31" t="n">
        <v>14</v>
      </c>
      <c r="I211" s="32" t="n">
        <v>19.10000038</v>
      </c>
      <c r="J211" s="31" t="n">
        <v>1</v>
      </c>
      <c r="K211" s="31" t="n">
        <v>0</v>
      </c>
    </row>
    <row r="212" customFormat="false" ht="15" hidden="false" customHeight="false" outlineLevel="0" collapsed="false">
      <c r="A212" s="31" t="n">
        <v>778737</v>
      </c>
      <c r="B212" s="31" t="n">
        <v>936</v>
      </c>
      <c r="C212" s="31" t="n">
        <v>115900</v>
      </c>
      <c r="D212" s="31" t="s">
        <v>58</v>
      </c>
      <c r="E212" s="31" t="s">
        <v>64</v>
      </c>
      <c r="F212" s="31" t="n">
        <v>27</v>
      </c>
      <c r="G212" s="31" t="n">
        <v>8077</v>
      </c>
      <c r="H212" s="31" t="n">
        <v>2</v>
      </c>
      <c r="I212" s="32" t="n">
        <v>3.579999924</v>
      </c>
      <c r="J212" s="31" t="n">
        <v>1</v>
      </c>
      <c r="K212" s="31" t="n">
        <v>1</v>
      </c>
    </row>
    <row r="213" customFormat="false" ht="15" hidden="false" customHeight="false" outlineLevel="0" collapsed="false">
      <c r="A213" s="31" t="n">
        <v>778756</v>
      </c>
      <c r="B213" s="31" t="n">
        <v>936</v>
      </c>
      <c r="C213" s="31" t="n">
        <v>115904</v>
      </c>
      <c r="D213" s="31" t="s">
        <v>58</v>
      </c>
      <c r="E213" s="31" t="s">
        <v>63</v>
      </c>
      <c r="F213" s="31" t="n">
        <v>63</v>
      </c>
      <c r="G213" s="31" t="n">
        <v>5602</v>
      </c>
      <c r="H213" s="31" t="n">
        <v>1</v>
      </c>
      <c r="I213" s="32" t="n">
        <v>1.580000043</v>
      </c>
      <c r="J213" s="31" t="n">
        <v>1</v>
      </c>
      <c r="K213" s="31" t="n">
        <v>0</v>
      </c>
    </row>
    <row r="214" customFormat="false" ht="15" hidden="false" customHeight="false" outlineLevel="0" collapsed="false">
      <c r="A214" s="31" t="n">
        <v>778804</v>
      </c>
      <c r="B214" s="31" t="n">
        <v>936</v>
      </c>
      <c r="C214" s="31" t="n">
        <v>115912</v>
      </c>
      <c r="D214" s="31" t="s">
        <v>57</v>
      </c>
      <c r="E214" s="31" t="s">
        <v>64</v>
      </c>
      <c r="F214" s="31" t="n">
        <v>26</v>
      </c>
      <c r="G214" s="31" t="n">
        <v>6184</v>
      </c>
      <c r="H214" s="31" t="n">
        <v>2</v>
      </c>
      <c r="I214" s="32" t="n">
        <v>2.75</v>
      </c>
      <c r="J214" s="31" t="n">
        <v>1</v>
      </c>
      <c r="K214" s="31" t="n">
        <v>1</v>
      </c>
    </row>
    <row r="215" customFormat="false" ht="15" hidden="false" customHeight="false" outlineLevel="0" collapsed="false">
      <c r="A215" s="31" t="n">
        <v>778964</v>
      </c>
      <c r="B215" s="31" t="n">
        <v>936</v>
      </c>
      <c r="C215" s="31" t="n">
        <v>115938</v>
      </c>
      <c r="D215" s="31" t="s">
        <v>58</v>
      </c>
      <c r="E215" s="31" t="s">
        <v>63</v>
      </c>
      <c r="F215" s="31" t="n">
        <v>27</v>
      </c>
      <c r="G215" s="31" t="n">
        <v>112460</v>
      </c>
      <c r="H215" s="31" t="n">
        <v>25</v>
      </c>
      <c r="I215" s="32" t="n">
        <v>41.29000068</v>
      </c>
      <c r="J215" s="31" t="n">
        <v>1</v>
      </c>
      <c r="K215" s="31" t="n">
        <v>0</v>
      </c>
    </row>
    <row r="216" customFormat="false" ht="15" hidden="false" customHeight="false" outlineLevel="0" collapsed="false">
      <c r="A216" s="31" t="n">
        <v>779106</v>
      </c>
      <c r="B216" s="31" t="n">
        <v>936</v>
      </c>
      <c r="C216" s="31" t="n">
        <v>115962</v>
      </c>
      <c r="D216" s="31" t="s">
        <v>58</v>
      </c>
      <c r="E216" s="31" t="s">
        <v>63</v>
      </c>
      <c r="F216" s="31" t="n">
        <v>30</v>
      </c>
      <c r="G216" s="31" t="n">
        <v>14670</v>
      </c>
      <c r="H216" s="31" t="n">
        <v>7</v>
      </c>
      <c r="I216" s="32" t="n">
        <v>9.410000324</v>
      </c>
      <c r="J216" s="31" t="n">
        <v>1</v>
      </c>
      <c r="K216" s="31" t="n">
        <v>0</v>
      </c>
    </row>
    <row r="217" customFormat="false" ht="15" hidden="false" customHeight="false" outlineLevel="0" collapsed="false">
      <c r="A217" s="31" t="n">
        <v>779438</v>
      </c>
      <c r="B217" s="31" t="n">
        <v>936</v>
      </c>
      <c r="C217" s="31" t="n">
        <v>116031</v>
      </c>
      <c r="D217" s="31" t="s">
        <v>57</v>
      </c>
      <c r="E217" s="31" t="s">
        <v>63</v>
      </c>
      <c r="F217" s="31" t="n">
        <v>64</v>
      </c>
      <c r="G217" s="31" t="n">
        <v>33144</v>
      </c>
      <c r="H217" s="31" t="n">
        <v>9</v>
      </c>
      <c r="I217" s="32" t="n">
        <v>13.40999985</v>
      </c>
      <c r="J217" s="31" t="n">
        <v>1</v>
      </c>
      <c r="K217" s="31" t="n">
        <v>0</v>
      </c>
    </row>
    <row r="218" customFormat="false" ht="15" hidden="false" customHeight="false" outlineLevel="0" collapsed="false">
      <c r="A218" s="31" t="n">
        <v>779453</v>
      </c>
      <c r="B218" s="31" t="n">
        <v>936</v>
      </c>
      <c r="C218" s="31" t="n">
        <v>116033</v>
      </c>
      <c r="D218" s="31" t="s">
        <v>60</v>
      </c>
      <c r="E218" s="31" t="s">
        <v>64</v>
      </c>
      <c r="F218" s="31" t="n">
        <v>64</v>
      </c>
      <c r="G218" s="31" t="n">
        <v>4397</v>
      </c>
      <c r="H218" s="31" t="n">
        <v>1</v>
      </c>
      <c r="I218" s="32" t="n">
        <v>0.949999988</v>
      </c>
      <c r="J218" s="31" t="n">
        <v>1</v>
      </c>
      <c r="K218" s="31" t="n">
        <v>0</v>
      </c>
    </row>
    <row r="219" customFormat="false" ht="15" hidden="false" customHeight="false" outlineLevel="0" collapsed="false">
      <c r="A219" s="31" t="n">
        <v>779573</v>
      </c>
      <c r="B219" s="31" t="n">
        <v>936</v>
      </c>
      <c r="C219" s="31" t="n">
        <v>116053</v>
      </c>
      <c r="D219" s="31" t="s">
        <v>58</v>
      </c>
      <c r="E219" s="31" t="s">
        <v>63</v>
      </c>
      <c r="F219" s="31" t="n">
        <v>10</v>
      </c>
      <c r="G219" s="31" t="n">
        <v>89527</v>
      </c>
      <c r="H219" s="31" t="n">
        <v>24</v>
      </c>
      <c r="I219" s="32" t="n">
        <v>32.28999996</v>
      </c>
      <c r="J219" s="31" t="n">
        <v>1</v>
      </c>
      <c r="K219" s="31" t="n">
        <v>0</v>
      </c>
    </row>
    <row r="220" customFormat="false" ht="15" hidden="false" customHeight="false" outlineLevel="0" collapsed="false">
      <c r="A220" s="31" t="n">
        <v>779609</v>
      </c>
      <c r="B220" s="31" t="n">
        <v>936</v>
      </c>
      <c r="C220" s="31" t="n">
        <v>116059</v>
      </c>
      <c r="D220" s="31" t="s">
        <v>58</v>
      </c>
      <c r="E220" s="31" t="s">
        <v>63</v>
      </c>
      <c r="F220" s="31" t="n">
        <v>15</v>
      </c>
      <c r="G220" s="31" t="n">
        <v>7116</v>
      </c>
      <c r="H220" s="31" t="n">
        <v>2</v>
      </c>
      <c r="I220" s="32" t="n">
        <v>1.730000019</v>
      </c>
      <c r="J220" s="31" t="n">
        <v>1</v>
      </c>
      <c r="K220" s="31" t="n">
        <v>1</v>
      </c>
    </row>
    <row r="221" customFormat="false" ht="15" hidden="false" customHeight="false" outlineLevel="0" collapsed="false">
      <c r="A221" s="31" t="n">
        <v>779622</v>
      </c>
      <c r="B221" s="31" t="n">
        <v>936</v>
      </c>
      <c r="C221" s="31" t="n">
        <v>116061</v>
      </c>
      <c r="D221" s="31" t="s">
        <v>57</v>
      </c>
      <c r="E221" s="31" t="s">
        <v>63</v>
      </c>
      <c r="F221" s="31" t="n">
        <v>15</v>
      </c>
      <c r="G221" s="31" t="n">
        <v>8613</v>
      </c>
      <c r="H221" s="31" t="n">
        <v>1</v>
      </c>
      <c r="I221" s="32" t="n">
        <v>0.889999986</v>
      </c>
      <c r="J221" s="31" t="n">
        <v>2</v>
      </c>
      <c r="K221" s="31" t="n">
        <v>0</v>
      </c>
    </row>
    <row r="222" customFormat="false" ht="15" hidden="false" customHeight="false" outlineLevel="0" collapsed="false">
      <c r="A222" s="31" t="n">
        <v>779631</v>
      </c>
      <c r="B222" s="31" t="n">
        <v>936</v>
      </c>
      <c r="C222" s="31" t="n">
        <v>116063</v>
      </c>
      <c r="D222" s="31" t="s">
        <v>58</v>
      </c>
      <c r="E222" s="31" t="s">
        <v>63</v>
      </c>
      <c r="F222" s="31" t="n">
        <v>16</v>
      </c>
      <c r="G222" s="31" t="n">
        <v>9730</v>
      </c>
      <c r="H222" s="31" t="n">
        <v>1</v>
      </c>
      <c r="I222" s="32" t="n">
        <v>1.379999995</v>
      </c>
      <c r="J222" s="31" t="n">
        <v>1</v>
      </c>
      <c r="K222" s="31" t="n">
        <v>0</v>
      </c>
    </row>
    <row r="223" customFormat="false" ht="15" hidden="false" customHeight="false" outlineLevel="0" collapsed="false">
      <c r="A223" s="31" t="n">
        <v>779644</v>
      </c>
      <c r="B223" s="31" t="n">
        <v>936</v>
      </c>
      <c r="C223" s="31" t="n">
        <v>116065</v>
      </c>
      <c r="D223" s="31" t="s">
        <v>57</v>
      </c>
      <c r="E223" s="31" t="s">
        <v>63</v>
      </c>
      <c r="F223" s="31" t="n">
        <v>16</v>
      </c>
      <c r="G223" s="31" t="n">
        <v>51816</v>
      </c>
      <c r="H223" s="31" t="n">
        <v>8</v>
      </c>
      <c r="I223" s="32" t="n">
        <v>10.2299999</v>
      </c>
      <c r="J223" s="31" t="n">
        <v>2</v>
      </c>
      <c r="K223" s="31" t="n">
        <v>1</v>
      </c>
    </row>
    <row r="224" customFormat="false" ht="15" hidden="false" customHeight="false" outlineLevel="0" collapsed="false">
      <c r="A224" s="31" t="n">
        <v>779645</v>
      </c>
      <c r="B224" s="31" t="n">
        <v>936</v>
      </c>
      <c r="C224" s="31" t="n">
        <v>116065</v>
      </c>
      <c r="D224" s="31" t="s">
        <v>57</v>
      </c>
      <c r="E224" s="31" t="s">
        <v>63</v>
      </c>
      <c r="F224" s="31" t="n">
        <v>16</v>
      </c>
      <c r="G224" s="31" t="n">
        <v>27289</v>
      </c>
      <c r="H224" s="31" t="n">
        <v>3</v>
      </c>
      <c r="I224" s="32" t="n">
        <v>4.429999828</v>
      </c>
      <c r="J224" s="31" t="n">
        <v>1</v>
      </c>
      <c r="K224" s="31" t="n">
        <v>0</v>
      </c>
    </row>
    <row r="225" customFormat="false" ht="15" hidden="false" customHeight="false" outlineLevel="0" collapsed="false">
      <c r="A225" s="31" t="n">
        <v>779715</v>
      </c>
      <c r="B225" s="31" t="n">
        <v>936</v>
      </c>
      <c r="C225" s="31" t="n">
        <v>116077</v>
      </c>
      <c r="D225" s="31" t="s">
        <v>57</v>
      </c>
      <c r="E225" s="31" t="s">
        <v>63</v>
      </c>
      <c r="F225" s="31" t="n">
        <v>29</v>
      </c>
      <c r="G225" s="31" t="n">
        <v>20409</v>
      </c>
      <c r="H225" s="31" t="n">
        <v>4</v>
      </c>
      <c r="I225" s="32" t="n">
        <v>3.829999924</v>
      </c>
      <c r="J225" s="31" t="n">
        <v>1</v>
      </c>
      <c r="K225" s="31" t="n">
        <v>0</v>
      </c>
    </row>
    <row r="226" customFormat="false" ht="15" hidden="false" customHeight="false" outlineLevel="0" collapsed="false">
      <c r="A226" s="31" t="n">
        <v>779716</v>
      </c>
      <c r="B226" s="31" t="n">
        <v>936</v>
      </c>
      <c r="C226" s="31" t="n">
        <v>116077</v>
      </c>
      <c r="D226" s="31" t="s">
        <v>57</v>
      </c>
      <c r="E226" s="31" t="s">
        <v>63</v>
      </c>
      <c r="F226" s="31" t="n">
        <v>29</v>
      </c>
      <c r="G226" s="31" t="n">
        <v>8044</v>
      </c>
      <c r="H226" s="31" t="n">
        <v>1</v>
      </c>
      <c r="I226" s="32" t="n">
        <v>1.110000014</v>
      </c>
      <c r="J226" s="31" t="n">
        <v>1</v>
      </c>
      <c r="K226" s="31" t="n">
        <v>0</v>
      </c>
    </row>
    <row r="227" customFormat="false" ht="15" hidden="false" customHeight="false" outlineLevel="0" collapsed="false">
      <c r="A227" s="31" t="n">
        <v>779738</v>
      </c>
      <c r="B227" s="31" t="n">
        <v>936</v>
      </c>
      <c r="C227" s="31" t="n">
        <v>116081</v>
      </c>
      <c r="D227" s="31" t="s">
        <v>57</v>
      </c>
      <c r="E227" s="31" t="s">
        <v>63</v>
      </c>
      <c r="F227" s="31" t="n">
        <v>28</v>
      </c>
      <c r="G227" s="31" t="n">
        <v>15645</v>
      </c>
      <c r="H227" s="31" t="n">
        <v>4</v>
      </c>
      <c r="I227" s="32" t="n">
        <v>5.349999905</v>
      </c>
      <c r="J227" s="31" t="n">
        <v>1</v>
      </c>
      <c r="K227" s="31" t="n">
        <v>0</v>
      </c>
    </row>
    <row r="228" customFormat="false" ht="15" hidden="false" customHeight="false" outlineLevel="0" collapsed="false">
      <c r="A228" s="31" t="n">
        <v>779789</v>
      </c>
      <c r="B228" s="31" t="n">
        <v>936</v>
      </c>
      <c r="C228" s="31" t="n">
        <v>116089</v>
      </c>
      <c r="D228" s="31" t="s">
        <v>60</v>
      </c>
      <c r="E228" s="31" t="s">
        <v>64</v>
      </c>
      <c r="F228" s="31" t="n">
        <v>10</v>
      </c>
      <c r="G228" s="31" t="n">
        <v>11611</v>
      </c>
      <c r="H228" s="31" t="n">
        <v>3</v>
      </c>
      <c r="I228" s="32" t="n">
        <v>3.950000048</v>
      </c>
      <c r="J228" s="31" t="n">
        <v>1</v>
      </c>
      <c r="K228" s="31" t="n">
        <v>1</v>
      </c>
    </row>
    <row r="229" customFormat="false" ht="15" hidden="false" customHeight="false" outlineLevel="0" collapsed="false">
      <c r="A229" s="31" t="n">
        <v>779824</v>
      </c>
      <c r="B229" s="31" t="n">
        <v>936</v>
      </c>
      <c r="C229" s="31" t="n">
        <v>116095</v>
      </c>
      <c r="D229" s="31" t="s">
        <v>60</v>
      </c>
      <c r="E229" s="31" t="s">
        <v>64</v>
      </c>
      <c r="F229" s="31" t="n">
        <v>7</v>
      </c>
      <c r="G229" s="31" t="n">
        <v>9375</v>
      </c>
      <c r="H229" s="31" t="n">
        <v>3</v>
      </c>
      <c r="I229" s="32" t="n">
        <v>4.019999981</v>
      </c>
      <c r="J229" s="31" t="n">
        <v>1</v>
      </c>
      <c r="K229" s="31" t="n">
        <v>0</v>
      </c>
    </row>
    <row r="230" customFormat="false" ht="15" hidden="false" customHeight="false" outlineLevel="0" collapsed="false">
      <c r="A230" s="31" t="n">
        <v>779871</v>
      </c>
      <c r="B230" s="31" t="n">
        <v>936</v>
      </c>
      <c r="C230" s="31" t="n">
        <v>116103</v>
      </c>
      <c r="D230" s="31" t="s">
        <v>57</v>
      </c>
      <c r="E230" s="31" t="s">
        <v>63</v>
      </c>
      <c r="F230" s="31" t="n">
        <v>32</v>
      </c>
      <c r="G230" s="31" t="n">
        <v>4402</v>
      </c>
      <c r="H230" s="31" t="n">
        <v>1</v>
      </c>
      <c r="I230" s="32" t="n">
        <v>1.330000043</v>
      </c>
      <c r="J230" s="31" t="n">
        <v>1</v>
      </c>
      <c r="K230" s="31" t="n">
        <v>1</v>
      </c>
    </row>
    <row r="231" customFormat="false" ht="15" hidden="false" customHeight="false" outlineLevel="0" collapsed="false">
      <c r="A231" s="31" t="n">
        <v>779918</v>
      </c>
      <c r="B231" s="31" t="n">
        <v>936</v>
      </c>
      <c r="C231" s="31" t="n">
        <v>116111</v>
      </c>
      <c r="D231" s="31" t="s">
        <v>57</v>
      </c>
      <c r="E231" s="31" t="s">
        <v>63</v>
      </c>
      <c r="F231" s="31" t="n">
        <v>18</v>
      </c>
      <c r="G231" s="31" t="n">
        <v>8469</v>
      </c>
      <c r="H231" s="31" t="n">
        <v>2</v>
      </c>
      <c r="I231" s="32" t="n">
        <v>3.089999914</v>
      </c>
      <c r="J231" s="31" t="n">
        <v>1</v>
      </c>
      <c r="K231" s="31" t="n">
        <v>0</v>
      </c>
    </row>
    <row r="232" customFormat="false" ht="15" hidden="false" customHeight="false" outlineLevel="0" collapsed="false">
      <c r="A232" s="31" t="n">
        <v>779922</v>
      </c>
      <c r="B232" s="31" t="n">
        <v>936</v>
      </c>
      <c r="C232" s="31" t="n">
        <v>116111</v>
      </c>
      <c r="D232" s="31" t="s">
        <v>57</v>
      </c>
      <c r="E232" s="31" t="s">
        <v>63</v>
      </c>
      <c r="F232" s="31" t="n">
        <v>18</v>
      </c>
      <c r="G232" s="31" t="n">
        <v>5823</v>
      </c>
      <c r="H232" s="31" t="n">
        <v>1</v>
      </c>
      <c r="I232" s="32" t="n">
        <v>1.419999957</v>
      </c>
      <c r="J232" s="31" t="n">
        <v>1</v>
      </c>
      <c r="K232" s="31" t="n">
        <v>1</v>
      </c>
    </row>
    <row r="233" customFormat="false" ht="15" hidden="false" customHeight="false" outlineLevel="0" collapsed="false">
      <c r="A233" s="31" t="n">
        <v>779979</v>
      </c>
      <c r="B233" s="31" t="n">
        <v>936</v>
      </c>
      <c r="C233" s="31" t="n">
        <v>116121</v>
      </c>
      <c r="D233" s="31" t="s">
        <v>58</v>
      </c>
      <c r="E233" s="31" t="s">
        <v>64</v>
      </c>
      <c r="F233" s="31" t="n">
        <v>16</v>
      </c>
      <c r="G233" s="31" t="n">
        <v>25817</v>
      </c>
      <c r="H233" s="31" t="n">
        <v>4</v>
      </c>
      <c r="I233" s="32" t="n">
        <v>6.019999981</v>
      </c>
      <c r="J233" s="31" t="n">
        <v>1</v>
      </c>
      <c r="K233" s="31" t="n">
        <v>0</v>
      </c>
    </row>
    <row r="234" customFormat="false" ht="15" hidden="false" customHeight="false" outlineLevel="0" collapsed="false">
      <c r="A234" s="31" t="n">
        <v>780104</v>
      </c>
      <c r="B234" s="31" t="n">
        <v>936</v>
      </c>
      <c r="C234" s="31" t="n">
        <v>116147</v>
      </c>
      <c r="D234" s="31" t="s">
        <v>57</v>
      </c>
      <c r="E234" s="31" t="s">
        <v>63</v>
      </c>
      <c r="F234" s="31" t="n">
        <v>25</v>
      </c>
      <c r="G234" s="31" t="n">
        <v>4971</v>
      </c>
      <c r="H234" s="31" t="n">
        <v>1</v>
      </c>
      <c r="I234" s="32" t="n">
        <v>1.230000019</v>
      </c>
      <c r="J234" s="31" t="n">
        <v>1</v>
      </c>
      <c r="K234" s="31" t="n">
        <v>1</v>
      </c>
    </row>
    <row r="235" customFormat="false" ht="15" hidden="false" customHeight="false" outlineLevel="0" collapsed="false">
      <c r="A235" s="31" t="n">
        <v>780318</v>
      </c>
      <c r="B235" s="31" t="n">
        <v>936</v>
      </c>
      <c r="C235" s="31" t="n">
        <v>116183</v>
      </c>
      <c r="D235" s="31" t="s">
        <v>60</v>
      </c>
      <c r="E235" s="31" t="s">
        <v>63</v>
      </c>
      <c r="F235" s="31" t="n">
        <v>29</v>
      </c>
      <c r="G235" s="31" t="n">
        <v>162341</v>
      </c>
      <c r="H235" s="31" t="n">
        <v>56</v>
      </c>
      <c r="I235" s="32" t="n">
        <v>77.07999969</v>
      </c>
      <c r="J235" s="31" t="n">
        <v>3</v>
      </c>
      <c r="K235" s="31" t="n">
        <v>0</v>
      </c>
    </row>
    <row r="236" customFormat="false" ht="15" hidden="false" customHeight="false" outlineLevel="0" collapsed="false">
      <c r="A236" s="31" t="n">
        <v>780323</v>
      </c>
      <c r="B236" s="31" t="n">
        <v>936</v>
      </c>
      <c r="C236" s="31" t="n">
        <v>116183</v>
      </c>
      <c r="D236" s="31" t="s">
        <v>60</v>
      </c>
      <c r="E236" s="31" t="s">
        <v>63</v>
      </c>
      <c r="F236" s="31" t="n">
        <v>29</v>
      </c>
      <c r="G236" s="31" t="n">
        <v>24542</v>
      </c>
      <c r="H236" s="31" t="n">
        <v>7</v>
      </c>
      <c r="I236" s="32" t="n">
        <v>9.329999924</v>
      </c>
      <c r="J236" s="31" t="n">
        <v>1</v>
      </c>
      <c r="K236" s="31" t="n">
        <v>0</v>
      </c>
    </row>
    <row r="237" customFormat="false" ht="15" hidden="false" customHeight="false" outlineLevel="0" collapsed="false">
      <c r="A237" s="31" t="n">
        <v>780498</v>
      </c>
      <c r="B237" s="31" t="n">
        <v>936</v>
      </c>
      <c r="C237" s="31" t="n">
        <v>116218</v>
      </c>
      <c r="D237" s="31" t="s">
        <v>57</v>
      </c>
      <c r="E237" s="31" t="s">
        <v>63</v>
      </c>
      <c r="F237" s="31" t="n">
        <v>64</v>
      </c>
      <c r="G237" s="31" t="n">
        <v>13621</v>
      </c>
      <c r="H237" s="31" t="n">
        <v>3</v>
      </c>
      <c r="I237" s="32" t="n">
        <v>4.090000033</v>
      </c>
      <c r="J237" s="31" t="n">
        <v>1</v>
      </c>
      <c r="K237" s="31" t="n">
        <v>0</v>
      </c>
    </row>
    <row r="238" customFormat="false" ht="15" hidden="false" customHeight="false" outlineLevel="0" collapsed="false">
      <c r="A238" s="31" t="n">
        <v>780511</v>
      </c>
      <c r="B238" s="31" t="n">
        <v>936</v>
      </c>
      <c r="C238" s="31" t="n">
        <v>116220</v>
      </c>
      <c r="D238" s="31" t="s">
        <v>57</v>
      </c>
      <c r="E238" s="31" t="s">
        <v>63</v>
      </c>
      <c r="F238" s="31" t="n">
        <v>63</v>
      </c>
      <c r="G238" s="31" t="n">
        <v>6175</v>
      </c>
      <c r="H238" s="31" t="n">
        <v>1</v>
      </c>
      <c r="I238" s="32" t="n">
        <v>1.370000005</v>
      </c>
      <c r="J238" s="31" t="n">
        <v>2</v>
      </c>
      <c r="K238" s="31" t="n">
        <v>1</v>
      </c>
    </row>
    <row r="239" customFormat="false" ht="15" hidden="false" customHeight="false" outlineLevel="0" collapsed="false">
      <c r="A239" s="31" t="n">
        <v>780653</v>
      </c>
      <c r="B239" s="31" t="n">
        <v>936</v>
      </c>
      <c r="C239" s="31" t="n">
        <v>116244</v>
      </c>
      <c r="D239" s="31" t="s">
        <v>57</v>
      </c>
      <c r="E239" s="31" t="s">
        <v>63</v>
      </c>
      <c r="F239" s="31" t="n">
        <v>29</v>
      </c>
      <c r="G239" s="31" t="n">
        <v>9076</v>
      </c>
      <c r="H239" s="31" t="n">
        <v>1</v>
      </c>
      <c r="I239" s="32" t="n">
        <v>1.379999995</v>
      </c>
      <c r="J239" s="31" t="n">
        <v>1</v>
      </c>
      <c r="K239" s="31" t="n">
        <v>1</v>
      </c>
    </row>
    <row r="240" customFormat="false" ht="15" hidden="false" customHeight="false" outlineLevel="0" collapsed="false">
      <c r="A240" s="31" t="n">
        <v>780655</v>
      </c>
      <c r="B240" s="31" t="n">
        <v>936</v>
      </c>
      <c r="C240" s="31" t="n">
        <v>116244</v>
      </c>
      <c r="D240" s="31" t="s">
        <v>57</v>
      </c>
      <c r="E240" s="31" t="s">
        <v>63</v>
      </c>
      <c r="F240" s="31" t="n">
        <v>29</v>
      </c>
      <c r="G240" s="31" t="n">
        <v>20941</v>
      </c>
      <c r="H240" s="31" t="n">
        <v>4</v>
      </c>
      <c r="I240" s="32" t="n">
        <v>5.909999967</v>
      </c>
      <c r="J240" s="31" t="n">
        <v>1</v>
      </c>
      <c r="K240" s="31" t="n">
        <v>1</v>
      </c>
    </row>
    <row r="241" customFormat="false" ht="15" hidden="false" customHeight="false" outlineLevel="0" collapsed="false">
      <c r="A241" s="31" t="n">
        <v>780760</v>
      </c>
      <c r="B241" s="31" t="n">
        <v>936</v>
      </c>
      <c r="C241" s="31" t="n">
        <v>116267</v>
      </c>
      <c r="D241" s="31" t="s">
        <v>60</v>
      </c>
      <c r="E241" s="31" t="s">
        <v>63</v>
      </c>
      <c r="F241" s="31" t="n">
        <v>18</v>
      </c>
      <c r="G241" s="31" t="n">
        <v>17167</v>
      </c>
      <c r="H241" s="31" t="n">
        <v>5</v>
      </c>
      <c r="I241" s="32" t="n">
        <v>6.910000086</v>
      </c>
      <c r="J241" s="31" t="n">
        <v>1</v>
      </c>
      <c r="K241" s="31" t="n">
        <v>0</v>
      </c>
    </row>
    <row r="242" customFormat="false" ht="15" hidden="false" customHeight="false" outlineLevel="0" collapsed="false">
      <c r="A242" s="31" t="n">
        <v>780797</v>
      </c>
      <c r="B242" s="31" t="n">
        <v>936</v>
      </c>
      <c r="C242" s="31" t="n">
        <v>116273</v>
      </c>
      <c r="D242" s="31" t="s">
        <v>57</v>
      </c>
      <c r="E242" s="31" t="s">
        <v>63</v>
      </c>
      <c r="F242" s="31" t="n">
        <v>22</v>
      </c>
      <c r="G242" s="31" t="n">
        <v>24491</v>
      </c>
      <c r="H242" s="31" t="n">
        <v>7</v>
      </c>
      <c r="I242" s="32" t="n">
        <v>9.539999962</v>
      </c>
      <c r="J242" s="31" t="n">
        <v>1</v>
      </c>
      <c r="K242" s="31" t="n">
        <v>0</v>
      </c>
    </row>
    <row r="243" customFormat="false" ht="15" hidden="false" customHeight="false" outlineLevel="0" collapsed="false">
      <c r="A243" s="31" t="n">
        <v>780799</v>
      </c>
      <c r="B243" s="31" t="n">
        <v>936</v>
      </c>
      <c r="C243" s="31" t="n">
        <v>116273</v>
      </c>
      <c r="D243" s="31" t="s">
        <v>57</v>
      </c>
      <c r="E243" s="31" t="s">
        <v>63</v>
      </c>
      <c r="F243" s="31" t="n">
        <v>22</v>
      </c>
      <c r="G243" s="31" t="n">
        <v>44699</v>
      </c>
      <c r="H243" s="31" t="n">
        <v>13</v>
      </c>
      <c r="I243" s="32" t="n">
        <v>17.30000037</v>
      </c>
      <c r="J243" s="31" t="n">
        <v>2</v>
      </c>
      <c r="K243" s="31" t="n">
        <v>0</v>
      </c>
    </row>
    <row r="244" customFormat="false" ht="15" hidden="false" customHeight="false" outlineLevel="0" collapsed="false">
      <c r="A244" s="31" t="n">
        <v>780821</v>
      </c>
      <c r="B244" s="31" t="n">
        <v>936</v>
      </c>
      <c r="C244" s="31" t="n">
        <v>116277</v>
      </c>
      <c r="D244" s="31" t="s">
        <v>57</v>
      </c>
      <c r="E244" s="31" t="s">
        <v>63</v>
      </c>
      <c r="F244" s="31" t="n">
        <v>23</v>
      </c>
      <c r="G244" s="31" t="n">
        <v>6469</v>
      </c>
      <c r="H244" s="31" t="n">
        <v>2</v>
      </c>
      <c r="I244" s="32" t="n">
        <v>1.309999943</v>
      </c>
      <c r="J244" s="31" t="n">
        <v>1</v>
      </c>
      <c r="K244" s="31" t="n">
        <v>0</v>
      </c>
    </row>
    <row r="245" customFormat="false" ht="15" hidden="false" customHeight="false" outlineLevel="0" collapsed="false">
      <c r="A245" s="31" t="n">
        <v>780830</v>
      </c>
      <c r="B245" s="31" t="n">
        <v>936</v>
      </c>
      <c r="C245" s="31" t="n">
        <v>116279</v>
      </c>
      <c r="D245" s="31" t="s">
        <v>60</v>
      </c>
      <c r="E245" s="31" t="s">
        <v>63</v>
      </c>
      <c r="F245" s="31" t="n">
        <v>16</v>
      </c>
      <c r="G245" s="31" t="n">
        <v>16053</v>
      </c>
      <c r="H245" s="31" t="n">
        <v>3</v>
      </c>
      <c r="I245" s="32" t="n">
        <v>4.079999924</v>
      </c>
      <c r="J245" s="31" t="n">
        <v>1</v>
      </c>
      <c r="K245" s="31" t="n">
        <v>1</v>
      </c>
    </row>
    <row r="246" customFormat="false" ht="15" hidden="false" customHeight="false" outlineLevel="0" collapsed="false">
      <c r="A246" s="31" t="n">
        <v>780835</v>
      </c>
      <c r="B246" s="31" t="n">
        <v>936</v>
      </c>
      <c r="C246" s="31" t="n">
        <v>116279</v>
      </c>
      <c r="D246" s="31" t="s">
        <v>60</v>
      </c>
      <c r="E246" s="31" t="s">
        <v>63</v>
      </c>
      <c r="F246" s="31" t="n">
        <v>16</v>
      </c>
      <c r="G246" s="31" t="n">
        <v>54724</v>
      </c>
      <c r="H246" s="31" t="n">
        <v>12</v>
      </c>
      <c r="I246" s="32" t="n">
        <v>17.92999995</v>
      </c>
      <c r="J246" s="31" t="n">
        <v>1</v>
      </c>
      <c r="K246" s="31" t="n">
        <v>1</v>
      </c>
    </row>
    <row r="247" customFormat="false" ht="15" hidden="false" customHeight="false" outlineLevel="0" collapsed="false">
      <c r="A247" s="31" t="n">
        <v>780867</v>
      </c>
      <c r="B247" s="31" t="n">
        <v>936</v>
      </c>
      <c r="C247" s="31" t="n">
        <v>116285</v>
      </c>
      <c r="D247" s="31" t="s">
        <v>57</v>
      </c>
      <c r="E247" s="31" t="s">
        <v>63</v>
      </c>
      <c r="F247" s="31" t="n">
        <v>21</v>
      </c>
      <c r="G247" s="31" t="n">
        <v>4706</v>
      </c>
      <c r="H247" s="31" t="n">
        <v>1</v>
      </c>
      <c r="I247" s="32" t="n">
        <v>1.220000029</v>
      </c>
      <c r="J247" s="31" t="n">
        <v>1</v>
      </c>
      <c r="K247" s="31" t="n">
        <v>0</v>
      </c>
    </row>
    <row r="248" customFormat="false" ht="15" hidden="false" customHeight="false" outlineLevel="0" collapsed="false">
      <c r="A248" s="31" t="n">
        <v>780974</v>
      </c>
      <c r="B248" s="31" t="n">
        <v>936</v>
      </c>
      <c r="C248" s="31" t="n">
        <v>116303</v>
      </c>
      <c r="D248" s="31" t="s">
        <v>59</v>
      </c>
      <c r="E248" s="31" t="s">
        <v>63</v>
      </c>
      <c r="F248" s="31" t="n">
        <v>32</v>
      </c>
      <c r="G248" s="31" t="n">
        <v>8316</v>
      </c>
      <c r="H248" s="31" t="n">
        <v>3</v>
      </c>
      <c r="I248" s="32" t="n">
        <v>4.569999933</v>
      </c>
      <c r="J248" s="31" t="n">
        <v>1</v>
      </c>
      <c r="K248" s="31" t="n">
        <v>1</v>
      </c>
    </row>
    <row r="249" customFormat="false" ht="15" hidden="false" customHeight="false" outlineLevel="0" collapsed="false">
      <c r="A249" s="31" t="n">
        <v>781066</v>
      </c>
      <c r="B249" s="31" t="n">
        <v>936</v>
      </c>
      <c r="C249" s="31" t="n">
        <v>116323</v>
      </c>
      <c r="D249" s="31" t="s">
        <v>59</v>
      </c>
      <c r="E249" s="31" t="s">
        <v>63</v>
      </c>
      <c r="F249" s="31" t="n">
        <v>22</v>
      </c>
      <c r="G249" s="31" t="n">
        <v>5794</v>
      </c>
      <c r="H249" s="31" t="n">
        <v>2</v>
      </c>
      <c r="I249" s="32" t="n">
        <v>2.269999981</v>
      </c>
      <c r="J249" s="31" t="n">
        <v>1</v>
      </c>
      <c r="K249" s="31" t="n">
        <v>0</v>
      </c>
    </row>
    <row r="250" customFormat="false" ht="15" hidden="false" customHeight="false" outlineLevel="0" collapsed="false">
      <c r="A250" s="31" t="n">
        <v>781114</v>
      </c>
      <c r="B250" s="31" t="n">
        <v>936</v>
      </c>
      <c r="C250" s="31" t="n">
        <v>116331</v>
      </c>
      <c r="D250" s="31" t="s">
        <v>59</v>
      </c>
      <c r="E250" s="31" t="s">
        <v>63</v>
      </c>
      <c r="F250" s="31" t="n">
        <v>18</v>
      </c>
      <c r="G250" s="31" t="n">
        <v>4813</v>
      </c>
      <c r="H250" s="31" t="n">
        <v>1</v>
      </c>
      <c r="I250" s="32" t="n">
        <v>1.029999971</v>
      </c>
      <c r="J250" s="31" t="n">
        <v>1</v>
      </c>
      <c r="K250" s="31" t="n">
        <v>0</v>
      </c>
    </row>
    <row r="251" customFormat="false" ht="15" hidden="false" customHeight="false" outlineLevel="0" collapsed="false">
      <c r="A251" s="31" t="n">
        <v>781159</v>
      </c>
      <c r="B251" s="31" t="n">
        <v>936</v>
      </c>
      <c r="C251" s="31" t="n">
        <v>116339</v>
      </c>
      <c r="D251" s="31" t="s">
        <v>59</v>
      </c>
      <c r="E251" s="31" t="s">
        <v>63</v>
      </c>
      <c r="F251" s="31" t="n">
        <v>10</v>
      </c>
      <c r="G251" s="31" t="n">
        <v>85285</v>
      </c>
      <c r="H251" s="31" t="n">
        <v>26</v>
      </c>
      <c r="I251" s="32" t="n">
        <v>36.13000035</v>
      </c>
      <c r="J251" s="31" t="n">
        <v>1</v>
      </c>
      <c r="K251" s="31" t="n">
        <v>0</v>
      </c>
    </row>
    <row r="252" customFormat="false" ht="15" hidden="false" customHeight="false" outlineLevel="0" collapsed="false">
      <c r="A252" s="31" t="n">
        <v>781162</v>
      </c>
      <c r="B252" s="31" t="n">
        <v>936</v>
      </c>
      <c r="C252" s="31" t="n">
        <v>116339</v>
      </c>
      <c r="D252" s="31" t="s">
        <v>59</v>
      </c>
      <c r="E252" s="31" t="s">
        <v>63</v>
      </c>
      <c r="F252" s="31" t="n">
        <v>10</v>
      </c>
      <c r="G252" s="31" t="n">
        <v>5839</v>
      </c>
      <c r="H252" s="31" t="n">
        <v>1</v>
      </c>
      <c r="I252" s="32" t="n">
        <v>1.370000005</v>
      </c>
      <c r="J252" s="31" t="n">
        <v>1</v>
      </c>
      <c r="K252" s="31" t="n">
        <v>0</v>
      </c>
    </row>
    <row r="253" customFormat="false" ht="15" hidden="false" customHeight="false" outlineLevel="0" collapsed="false">
      <c r="A253" s="31" t="n">
        <v>781175</v>
      </c>
      <c r="B253" s="31" t="n">
        <v>936</v>
      </c>
      <c r="C253" s="31" t="n">
        <v>116341</v>
      </c>
      <c r="D253" s="31" t="s">
        <v>59</v>
      </c>
      <c r="E253" s="31" t="s">
        <v>63</v>
      </c>
      <c r="F253" s="31" t="n">
        <v>15</v>
      </c>
      <c r="G253" s="31" t="n">
        <v>5859</v>
      </c>
      <c r="H253" s="31" t="n">
        <v>1</v>
      </c>
      <c r="I253" s="32" t="n">
        <v>1.539999962</v>
      </c>
      <c r="J253" s="31" t="n">
        <v>1</v>
      </c>
      <c r="K253" s="31" t="n">
        <v>0</v>
      </c>
    </row>
    <row r="254" customFormat="false" ht="15" hidden="false" customHeight="false" outlineLevel="0" collapsed="false">
      <c r="A254" s="31" t="n">
        <v>781187</v>
      </c>
      <c r="B254" s="31" t="n">
        <v>936</v>
      </c>
      <c r="C254" s="31" t="n">
        <v>116343</v>
      </c>
      <c r="D254" s="31" t="s">
        <v>59</v>
      </c>
      <c r="E254" s="31" t="s">
        <v>63</v>
      </c>
      <c r="F254" s="31" t="n">
        <v>16</v>
      </c>
      <c r="G254" s="31" t="n">
        <v>164118</v>
      </c>
      <c r="H254" s="31" t="n">
        <v>41</v>
      </c>
      <c r="I254" s="32" t="n">
        <v>59.06999993</v>
      </c>
      <c r="J254" s="31" t="n">
        <v>1</v>
      </c>
      <c r="K254" s="31" t="n">
        <v>0</v>
      </c>
    </row>
    <row r="255" customFormat="false" ht="15" hidden="false" customHeight="false" outlineLevel="0" collapsed="false">
      <c r="A255" s="31" t="n">
        <v>781195</v>
      </c>
      <c r="B255" s="31" t="n">
        <v>936</v>
      </c>
      <c r="C255" s="31" t="n">
        <v>116345</v>
      </c>
      <c r="D255" s="31" t="s">
        <v>58</v>
      </c>
      <c r="E255" s="31" t="s">
        <v>63</v>
      </c>
      <c r="F255" s="31" t="n">
        <v>63</v>
      </c>
      <c r="G255" s="31" t="n">
        <v>18234</v>
      </c>
      <c r="H255" s="31" t="n">
        <v>6</v>
      </c>
      <c r="I255" s="32" t="n">
        <v>7.810000062</v>
      </c>
      <c r="J255" s="31" t="n">
        <v>1</v>
      </c>
      <c r="K255" s="31" t="n">
        <v>0</v>
      </c>
    </row>
    <row r="256" customFormat="false" ht="15" hidden="false" customHeight="false" outlineLevel="0" collapsed="false">
      <c r="A256" s="31" t="n">
        <v>781303</v>
      </c>
      <c r="B256" s="31" t="n">
        <v>936</v>
      </c>
      <c r="C256" s="31" t="n">
        <v>116363</v>
      </c>
      <c r="D256" s="31" t="s">
        <v>58</v>
      </c>
      <c r="E256" s="31" t="s">
        <v>63</v>
      </c>
      <c r="F256" s="31" t="n">
        <v>27</v>
      </c>
      <c r="G256" s="31" t="n">
        <v>73676</v>
      </c>
      <c r="H256" s="31" t="n">
        <v>20</v>
      </c>
      <c r="I256" s="32" t="n">
        <v>28.5</v>
      </c>
      <c r="J256" s="31" t="n">
        <v>1</v>
      </c>
      <c r="K256" s="31" t="n">
        <v>0</v>
      </c>
    </row>
    <row r="257" customFormat="false" ht="15" hidden="false" customHeight="false" outlineLevel="0" collapsed="false">
      <c r="A257" s="31" t="n">
        <v>781305</v>
      </c>
      <c r="B257" s="31" t="n">
        <v>936</v>
      </c>
      <c r="C257" s="31" t="n">
        <v>116363</v>
      </c>
      <c r="D257" s="31" t="s">
        <v>58</v>
      </c>
      <c r="E257" s="31" t="s">
        <v>63</v>
      </c>
      <c r="F257" s="31" t="n">
        <v>27</v>
      </c>
      <c r="G257" s="31" t="n">
        <v>18421</v>
      </c>
      <c r="H257" s="31" t="n">
        <v>7</v>
      </c>
      <c r="I257" s="32" t="n">
        <v>10.07999992</v>
      </c>
      <c r="J257" s="31" t="n">
        <v>1</v>
      </c>
      <c r="K257" s="31" t="n">
        <v>0</v>
      </c>
    </row>
    <row r="258" customFormat="false" ht="15" hidden="false" customHeight="false" outlineLevel="0" collapsed="false">
      <c r="A258" s="31" t="n">
        <v>781327</v>
      </c>
      <c r="B258" s="31" t="n">
        <v>936</v>
      </c>
      <c r="C258" s="31" t="n">
        <v>116367</v>
      </c>
      <c r="D258" s="31" t="s">
        <v>58</v>
      </c>
      <c r="E258" s="31" t="s">
        <v>63</v>
      </c>
      <c r="F258" s="31" t="n">
        <v>29</v>
      </c>
      <c r="G258" s="31" t="n">
        <v>164754</v>
      </c>
      <c r="H258" s="31" t="n">
        <v>49</v>
      </c>
      <c r="I258" s="32" t="n">
        <v>67.97999978</v>
      </c>
      <c r="J258" s="31" t="n">
        <v>2</v>
      </c>
      <c r="K258" s="31" t="n">
        <v>1</v>
      </c>
    </row>
    <row r="259" customFormat="false" ht="15" hidden="false" customHeight="false" outlineLevel="0" collapsed="false">
      <c r="A259" s="31" t="n">
        <v>781353</v>
      </c>
      <c r="B259" s="31" t="n">
        <v>936</v>
      </c>
      <c r="C259" s="31" t="n">
        <v>116371</v>
      </c>
      <c r="D259" s="31" t="s">
        <v>58</v>
      </c>
      <c r="E259" s="31" t="s">
        <v>63</v>
      </c>
      <c r="F259" s="31" t="n">
        <v>10</v>
      </c>
      <c r="G259" s="31" t="n">
        <v>7449</v>
      </c>
      <c r="H259" s="31" t="n">
        <v>1</v>
      </c>
      <c r="I259" s="32" t="n">
        <v>1.639999986</v>
      </c>
      <c r="J259" s="31" t="n">
        <v>1</v>
      </c>
      <c r="K259" s="31" t="n">
        <v>1</v>
      </c>
    </row>
    <row r="260" customFormat="false" ht="15" hidden="false" customHeight="false" outlineLevel="0" collapsed="false">
      <c r="A260" s="31" t="n">
        <v>781354</v>
      </c>
      <c r="B260" s="31" t="n">
        <v>936</v>
      </c>
      <c r="C260" s="31" t="n">
        <v>116371</v>
      </c>
      <c r="D260" s="31" t="s">
        <v>58</v>
      </c>
      <c r="E260" s="31" t="s">
        <v>63</v>
      </c>
      <c r="F260" s="31" t="n">
        <v>10</v>
      </c>
      <c r="G260" s="31" t="n">
        <v>6424</v>
      </c>
      <c r="H260" s="31" t="n">
        <v>1</v>
      </c>
      <c r="I260" s="32" t="n">
        <v>0.529999971</v>
      </c>
      <c r="J260" s="31" t="n">
        <v>1</v>
      </c>
      <c r="K260" s="31" t="n">
        <v>0</v>
      </c>
    </row>
    <row r="261" customFormat="false" ht="15" hidden="false" customHeight="false" outlineLevel="0" collapsed="false">
      <c r="A261" s="31" t="n">
        <v>781499</v>
      </c>
      <c r="B261" s="31" t="n">
        <v>936</v>
      </c>
      <c r="C261" s="31" t="n">
        <v>116395</v>
      </c>
      <c r="D261" s="31" t="s">
        <v>58</v>
      </c>
      <c r="E261" s="31" t="s">
        <v>64</v>
      </c>
      <c r="F261" s="31" t="n">
        <v>15</v>
      </c>
      <c r="G261" s="31" t="n">
        <v>6412</v>
      </c>
      <c r="H261" s="31" t="n">
        <v>1</v>
      </c>
      <c r="I261" s="32" t="n">
        <v>1.370000005</v>
      </c>
      <c r="J261" s="31" t="n">
        <v>1</v>
      </c>
      <c r="K261" s="31" t="n">
        <v>0</v>
      </c>
    </row>
    <row r="262" customFormat="false" ht="15" hidden="false" customHeight="false" outlineLevel="0" collapsed="false">
      <c r="A262" s="31" t="n">
        <v>781508</v>
      </c>
      <c r="B262" s="31" t="n">
        <v>936</v>
      </c>
      <c r="C262" s="31" t="n">
        <v>116397</v>
      </c>
      <c r="D262" s="31" t="s">
        <v>57</v>
      </c>
      <c r="E262" s="31" t="s">
        <v>63</v>
      </c>
      <c r="F262" s="31" t="n">
        <v>63</v>
      </c>
      <c r="G262" s="31" t="n">
        <v>5040</v>
      </c>
      <c r="H262" s="31" t="n">
        <v>1</v>
      </c>
      <c r="I262" s="32" t="n">
        <v>1.440000057</v>
      </c>
      <c r="J262" s="31" t="n">
        <v>1</v>
      </c>
      <c r="K262" s="31" t="n">
        <v>0</v>
      </c>
    </row>
    <row r="263" customFormat="false" ht="15" hidden="false" customHeight="false" outlineLevel="0" collapsed="false">
      <c r="A263" s="31" t="n">
        <v>781606</v>
      </c>
      <c r="B263" s="31" t="n">
        <v>936</v>
      </c>
      <c r="C263" s="31" t="n">
        <v>116413</v>
      </c>
      <c r="D263" s="31" t="s">
        <v>58</v>
      </c>
      <c r="E263" s="31" t="s">
        <v>64</v>
      </c>
      <c r="F263" s="31" t="n">
        <v>20</v>
      </c>
      <c r="G263" s="31" t="n">
        <v>8200</v>
      </c>
      <c r="H263" s="31" t="n">
        <v>3</v>
      </c>
      <c r="I263" s="32" t="n">
        <v>3.919999957</v>
      </c>
      <c r="J263" s="31" t="n">
        <v>1</v>
      </c>
      <c r="K263" s="31" t="n">
        <v>0</v>
      </c>
    </row>
    <row r="264" customFormat="false" ht="15" hidden="false" customHeight="false" outlineLevel="0" collapsed="false">
      <c r="A264" s="31" t="n">
        <v>781690</v>
      </c>
      <c r="B264" s="31" t="n">
        <v>936</v>
      </c>
      <c r="C264" s="31" t="n">
        <v>116427</v>
      </c>
      <c r="D264" s="31" t="s">
        <v>60</v>
      </c>
      <c r="E264" s="31" t="s">
        <v>63</v>
      </c>
      <c r="F264" s="31" t="n">
        <v>26</v>
      </c>
      <c r="G264" s="31" t="n">
        <v>115896</v>
      </c>
      <c r="H264" s="31" t="n">
        <v>38</v>
      </c>
      <c r="I264" s="32" t="n">
        <v>49.44000006</v>
      </c>
      <c r="J264" s="31" t="n">
        <v>1</v>
      </c>
      <c r="K264" s="31" t="n">
        <v>0</v>
      </c>
    </row>
    <row r="265" customFormat="false" ht="15" hidden="false" customHeight="false" outlineLevel="0" collapsed="false">
      <c r="A265" s="31" t="n">
        <v>781811</v>
      </c>
      <c r="B265" s="31" t="n">
        <v>936</v>
      </c>
      <c r="C265" s="31" t="n">
        <v>116447</v>
      </c>
      <c r="D265" s="31" t="s">
        <v>58</v>
      </c>
      <c r="E265" s="31" t="s">
        <v>63</v>
      </c>
      <c r="F265" s="31" t="n">
        <v>16</v>
      </c>
      <c r="G265" s="31" t="n">
        <v>10186</v>
      </c>
      <c r="H265" s="31" t="n">
        <v>1</v>
      </c>
      <c r="I265" s="32" t="n">
        <v>1.230000019</v>
      </c>
      <c r="J265" s="31" t="n">
        <v>1</v>
      </c>
      <c r="K265" s="31" t="n">
        <v>1</v>
      </c>
    </row>
    <row r="266" customFormat="false" ht="15" hidden="false" customHeight="false" outlineLevel="0" collapsed="false">
      <c r="A266" s="31" t="n">
        <v>781857</v>
      </c>
      <c r="B266" s="31" t="n">
        <v>936</v>
      </c>
      <c r="C266" s="31" t="n">
        <v>116455</v>
      </c>
      <c r="D266" s="31" t="s">
        <v>57</v>
      </c>
      <c r="E266" s="31" t="s">
        <v>64</v>
      </c>
      <c r="F266" s="31" t="n">
        <v>20</v>
      </c>
      <c r="G266" s="31" t="n">
        <v>9134</v>
      </c>
      <c r="H266" s="31" t="n">
        <v>3</v>
      </c>
      <c r="I266" s="32" t="n">
        <v>4.180000067</v>
      </c>
      <c r="J266" s="31" t="n">
        <v>2</v>
      </c>
      <c r="K266" s="31" t="n">
        <v>0</v>
      </c>
    </row>
    <row r="267" customFormat="false" ht="15" hidden="false" customHeight="false" outlineLevel="0" collapsed="false">
      <c r="A267" s="31" t="n">
        <v>781858</v>
      </c>
      <c r="B267" s="31" t="n">
        <v>936</v>
      </c>
      <c r="C267" s="31" t="n">
        <v>116455</v>
      </c>
      <c r="D267" s="31" t="s">
        <v>57</v>
      </c>
      <c r="E267" s="31" t="s">
        <v>64</v>
      </c>
      <c r="F267" s="31" t="n">
        <v>20</v>
      </c>
      <c r="G267" s="31" t="n">
        <v>3385</v>
      </c>
      <c r="H267" s="31" t="n">
        <v>1</v>
      </c>
      <c r="I267" s="32" t="n">
        <v>1.440000057</v>
      </c>
      <c r="J267" s="31" t="n">
        <v>1</v>
      </c>
      <c r="K267" s="31" t="n">
        <v>1</v>
      </c>
    </row>
    <row r="268" customFormat="false" ht="15" hidden="false" customHeight="false" outlineLevel="0" collapsed="false">
      <c r="A268" s="31" t="n">
        <v>781929</v>
      </c>
      <c r="B268" s="31" t="n">
        <v>936</v>
      </c>
      <c r="C268" s="31" t="n">
        <v>116467</v>
      </c>
      <c r="D268" s="31" t="s">
        <v>57</v>
      </c>
      <c r="E268" s="31" t="s">
        <v>64</v>
      </c>
      <c r="F268" s="31" t="n">
        <v>18</v>
      </c>
      <c r="G268" s="31" t="n">
        <v>6142</v>
      </c>
      <c r="H268" s="31" t="n">
        <v>1</v>
      </c>
      <c r="I268" s="32" t="n">
        <v>1.330000043</v>
      </c>
      <c r="J268" s="31" t="n">
        <v>1</v>
      </c>
      <c r="K268" s="31" t="n">
        <v>0</v>
      </c>
    </row>
    <row r="269" customFormat="false" ht="15" hidden="false" customHeight="false" outlineLevel="0" collapsed="false">
      <c r="A269" s="31" t="n">
        <v>781999</v>
      </c>
      <c r="B269" s="31" t="n">
        <v>936</v>
      </c>
      <c r="C269" s="31" t="n">
        <v>116479</v>
      </c>
      <c r="D269" s="31" t="s">
        <v>57</v>
      </c>
      <c r="E269" s="31" t="s">
        <v>64</v>
      </c>
      <c r="F269" s="31" t="n">
        <v>24</v>
      </c>
      <c r="G269" s="31" t="n">
        <v>9142</v>
      </c>
      <c r="H269" s="31" t="n">
        <v>3</v>
      </c>
      <c r="I269" s="32" t="n">
        <v>3.749999881</v>
      </c>
      <c r="J269" s="31" t="n">
        <v>1</v>
      </c>
      <c r="K269" s="31" t="n">
        <v>0</v>
      </c>
    </row>
    <row r="270" customFormat="false" ht="15" hidden="false" customHeight="false" outlineLevel="0" collapsed="false">
      <c r="A270" s="31" t="n">
        <v>782001</v>
      </c>
      <c r="B270" s="31" t="n">
        <v>936</v>
      </c>
      <c r="C270" s="31" t="n">
        <v>116479</v>
      </c>
      <c r="D270" s="31" t="s">
        <v>57</v>
      </c>
      <c r="E270" s="31" t="s">
        <v>64</v>
      </c>
      <c r="F270" s="31" t="n">
        <v>24</v>
      </c>
      <c r="G270" s="31" t="n">
        <v>5475</v>
      </c>
      <c r="H270" s="31" t="n">
        <v>2</v>
      </c>
      <c r="I270" s="32" t="n">
        <v>2.730000019</v>
      </c>
      <c r="J270" s="31" t="n">
        <v>1</v>
      </c>
      <c r="K270" s="31" t="n">
        <v>1</v>
      </c>
    </row>
    <row r="271" customFormat="false" ht="15" hidden="false" customHeight="false" outlineLevel="0" collapsed="false">
      <c r="A271" s="31" t="n">
        <v>782022</v>
      </c>
      <c r="B271" s="31" t="n">
        <v>936</v>
      </c>
      <c r="C271" s="31" t="n">
        <v>116483</v>
      </c>
      <c r="D271" s="31" t="s">
        <v>57</v>
      </c>
      <c r="E271" s="31" t="s">
        <v>63</v>
      </c>
      <c r="F271" s="31" t="n">
        <v>18</v>
      </c>
      <c r="G271" s="31" t="n">
        <v>8254</v>
      </c>
      <c r="H271" s="31" t="n">
        <v>2</v>
      </c>
      <c r="I271" s="32" t="n">
        <v>2.320000052</v>
      </c>
      <c r="J271" s="31" t="n">
        <v>1</v>
      </c>
      <c r="K271" s="31" t="n">
        <v>1</v>
      </c>
    </row>
    <row r="272" customFormat="false" ht="15" hidden="false" customHeight="false" outlineLevel="0" collapsed="false">
      <c r="A272" s="31" t="n">
        <v>782026</v>
      </c>
      <c r="B272" s="31" t="n">
        <v>936</v>
      </c>
      <c r="C272" s="31" t="n">
        <v>116483</v>
      </c>
      <c r="D272" s="31" t="s">
        <v>57</v>
      </c>
      <c r="E272" s="31" t="s">
        <v>63</v>
      </c>
      <c r="F272" s="31" t="n">
        <v>18</v>
      </c>
      <c r="G272" s="31" t="n">
        <v>5704</v>
      </c>
      <c r="H272" s="31" t="n">
        <v>1</v>
      </c>
      <c r="I272" s="32" t="n">
        <v>1.320000052</v>
      </c>
      <c r="J272" s="31" t="n">
        <v>1</v>
      </c>
      <c r="K272" s="31" t="n">
        <v>0</v>
      </c>
    </row>
    <row r="273" customFormat="false" ht="15" hidden="false" customHeight="false" outlineLevel="0" collapsed="false">
      <c r="A273" s="31" t="n">
        <v>782134</v>
      </c>
      <c r="B273" s="31" t="n">
        <v>936</v>
      </c>
      <c r="C273" s="31" t="n">
        <v>116501</v>
      </c>
      <c r="D273" s="31" t="s">
        <v>57</v>
      </c>
      <c r="E273" s="31" t="s">
        <v>63</v>
      </c>
      <c r="F273" s="31" t="n">
        <v>16</v>
      </c>
      <c r="G273" s="31" t="n">
        <v>37873</v>
      </c>
      <c r="H273" s="31" t="n">
        <v>5</v>
      </c>
      <c r="I273" s="32" t="n">
        <v>6.169999957</v>
      </c>
      <c r="J273" s="31" t="n">
        <v>1</v>
      </c>
      <c r="K273" s="31" t="n">
        <v>1</v>
      </c>
    </row>
    <row r="274" customFormat="false" ht="15" hidden="false" customHeight="false" outlineLevel="0" collapsed="false">
      <c r="A274" s="31" t="n">
        <v>782135</v>
      </c>
      <c r="B274" s="31" t="n">
        <v>936</v>
      </c>
      <c r="C274" s="31" t="n">
        <v>116501</v>
      </c>
      <c r="D274" s="31" t="s">
        <v>57</v>
      </c>
      <c r="E274" s="31" t="s">
        <v>63</v>
      </c>
      <c r="F274" s="31" t="n">
        <v>16</v>
      </c>
      <c r="G274" s="31" t="n">
        <v>25267</v>
      </c>
      <c r="H274" s="31" t="n">
        <v>4</v>
      </c>
      <c r="I274" s="32" t="n">
        <v>4.940000057</v>
      </c>
      <c r="J274" s="31" t="n">
        <v>2</v>
      </c>
      <c r="K274" s="31" t="n">
        <v>1</v>
      </c>
    </row>
    <row r="275" customFormat="false" ht="15" hidden="false" customHeight="false" outlineLevel="0" collapsed="false">
      <c r="A275" s="31" t="n">
        <v>782228</v>
      </c>
      <c r="B275" s="31" t="n">
        <v>936</v>
      </c>
      <c r="C275" s="31" t="n">
        <v>116517</v>
      </c>
      <c r="D275" s="31" t="s">
        <v>59</v>
      </c>
      <c r="E275" s="31" t="s">
        <v>63</v>
      </c>
      <c r="F275" s="31" t="n">
        <v>63</v>
      </c>
      <c r="G275" s="31" t="n">
        <v>12318</v>
      </c>
      <c r="H275" s="31" t="n">
        <v>5</v>
      </c>
      <c r="I275" s="32" t="n">
        <v>6.340000153</v>
      </c>
      <c r="J275" s="31" t="n">
        <v>1</v>
      </c>
      <c r="K275" s="31" t="n">
        <v>1</v>
      </c>
    </row>
    <row r="276" customFormat="false" ht="15" hidden="false" customHeight="false" outlineLevel="0" collapsed="false">
      <c r="A276" s="31" t="n">
        <v>782242</v>
      </c>
      <c r="B276" s="31" t="n">
        <v>936</v>
      </c>
      <c r="C276" s="31" t="n">
        <v>116519</v>
      </c>
      <c r="D276" s="31" t="s">
        <v>57</v>
      </c>
      <c r="E276" s="31" t="s">
        <v>63</v>
      </c>
      <c r="F276" s="31" t="n">
        <v>28</v>
      </c>
      <c r="G276" s="31" t="n">
        <v>4783</v>
      </c>
      <c r="H276" s="31" t="n">
        <v>1</v>
      </c>
      <c r="I276" s="32" t="n">
        <v>0.860000014</v>
      </c>
      <c r="J276" s="31" t="n">
        <v>1</v>
      </c>
      <c r="K276" s="31" t="n">
        <v>0</v>
      </c>
    </row>
    <row r="277" customFormat="false" ht="15" hidden="false" customHeight="false" outlineLevel="0" collapsed="false">
      <c r="A277" s="31" t="n">
        <v>782275</v>
      </c>
      <c r="B277" s="31" t="n">
        <v>936</v>
      </c>
      <c r="C277" s="31" t="n">
        <v>116525</v>
      </c>
      <c r="D277" s="31" t="s">
        <v>57</v>
      </c>
      <c r="E277" s="31" t="s">
        <v>63</v>
      </c>
      <c r="F277" s="31" t="n">
        <v>29</v>
      </c>
      <c r="G277" s="31" t="n">
        <v>6475</v>
      </c>
      <c r="H277" s="31" t="n">
        <v>1</v>
      </c>
      <c r="I277" s="32" t="n">
        <v>1.350000024</v>
      </c>
      <c r="J277" s="31" t="n">
        <v>1</v>
      </c>
      <c r="K277" s="31" t="n">
        <v>0</v>
      </c>
    </row>
    <row r="278" customFormat="false" ht="15" hidden="false" customHeight="false" outlineLevel="0" collapsed="false">
      <c r="A278" s="31" t="n">
        <v>782337</v>
      </c>
      <c r="B278" s="31" t="n">
        <v>936</v>
      </c>
      <c r="C278" s="31" t="n">
        <v>116535</v>
      </c>
      <c r="D278" s="31" t="s">
        <v>60</v>
      </c>
      <c r="E278" s="31" t="s">
        <v>63</v>
      </c>
      <c r="F278" s="31" t="n">
        <v>16</v>
      </c>
      <c r="G278" s="31" t="n">
        <v>104578</v>
      </c>
      <c r="H278" s="31" t="n">
        <v>29</v>
      </c>
      <c r="I278" s="32" t="n">
        <v>39.25000095</v>
      </c>
      <c r="J278" s="31" t="n">
        <v>1</v>
      </c>
      <c r="K278" s="31" t="n">
        <v>1</v>
      </c>
    </row>
    <row r="279" customFormat="false" ht="15" hidden="false" customHeight="false" outlineLevel="0" collapsed="false">
      <c r="A279" s="31" t="n">
        <v>782407</v>
      </c>
      <c r="B279" s="31" t="n">
        <v>936</v>
      </c>
      <c r="C279" s="31" t="n">
        <v>116547</v>
      </c>
      <c r="D279" s="31" t="s">
        <v>60</v>
      </c>
      <c r="E279" s="31" t="s">
        <v>63</v>
      </c>
      <c r="F279" s="31" t="n">
        <v>10</v>
      </c>
      <c r="G279" s="31" t="n">
        <v>33664</v>
      </c>
      <c r="H279" s="31" t="n">
        <v>11</v>
      </c>
      <c r="I279" s="32" t="n">
        <v>12.51000035</v>
      </c>
      <c r="J279" s="31" t="n">
        <v>1</v>
      </c>
      <c r="K279" s="31" t="n">
        <v>0</v>
      </c>
    </row>
    <row r="280" customFormat="false" ht="15" hidden="false" customHeight="false" outlineLevel="0" collapsed="false">
      <c r="A280" s="31" t="n">
        <v>782541</v>
      </c>
      <c r="B280" s="31" t="n">
        <v>936</v>
      </c>
      <c r="C280" s="31" t="n">
        <v>116569</v>
      </c>
      <c r="D280" s="31" t="s">
        <v>59</v>
      </c>
      <c r="E280" s="31" t="s">
        <v>63</v>
      </c>
      <c r="F280" s="31" t="n">
        <v>28</v>
      </c>
      <c r="G280" s="31" t="n">
        <v>7337</v>
      </c>
      <c r="H280" s="31" t="n">
        <v>3</v>
      </c>
      <c r="I280" s="32" t="n">
        <v>4.079999924</v>
      </c>
      <c r="J280" s="31" t="n">
        <v>1</v>
      </c>
      <c r="K280" s="31" t="n">
        <v>0</v>
      </c>
    </row>
    <row r="281" customFormat="false" ht="15" hidden="false" customHeight="false" outlineLevel="0" collapsed="false">
      <c r="A281" s="31" t="n">
        <v>782647</v>
      </c>
      <c r="B281" s="31" t="n">
        <v>936</v>
      </c>
      <c r="C281" s="31" t="n">
        <v>116587</v>
      </c>
      <c r="D281" s="31" t="s">
        <v>59</v>
      </c>
      <c r="E281" s="31" t="s">
        <v>63</v>
      </c>
      <c r="F281" s="31" t="n">
        <v>27</v>
      </c>
      <c r="G281" s="31" t="n">
        <v>11244</v>
      </c>
      <c r="H281" s="31" t="n">
        <v>3</v>
      </c>
      <c r="I281" s="32" t="n">
        <v>4.550000191</v>
      </c>
      <c r="J281" s="31" t="n">
        <v>1</v>
      </c>
      <c r="K281" s="31" t="n">
        <v>0</v>
      </c>
    </row>
    <row r="282" customFormat="false" ht="15" hidden="false" customHeight="false" outlineLevel="0" collapsed="false">
      <c r="A282" s="31" t="n">
        <v>782694</v>
      </c>
      <c r="B282" s="31" t="n">
        <v>936</v>
      </c>
      <c r="C282" s="31" t="n">
        <v>116595</v>
      </c>
      <c r="D282" s="31" t="s">
        <v>58</v>
      </c>
      <c r="E282" s="31" t="s">
        <v>63</v>
      </c>
      <c r="F282" s="31" t="n">
        <v>29</v>
      </c>
      <c r="G282" s="31" t="n">
        <v>29035</v>
      </c>
      <c r="H282" s="31" t="n">
        <v>7</v>
      </c>
      <c r="I282" s="32" t="n">
        <v>8.910000086</v>
      </c>
      <c r="J282" s="31" t="n">
        <v>2</v>
      </c>
      <c r="K282" s="31" t="n">
        <v>2</v>
      </c>
    </row>
    <row r="283" customFormat="false" ht="15" hidden="false" customHeight="false" outlineLevel="0" collapsed="false">
      <c r="A283" s="31" t="n">
        <v>782754</v>
      </c>
      <c r="B283" s="31" t="n">
        <v>936</v>
      </c>
      <c r="C283" s="31" t="n">
        <v>116605</v>
      </c>
      <c r="D283" s="31" t="s">
        <v>58</v>
      </c>
      <c r="E283" s="31" t="s">
        <v>63</v>
      </c>
      <c r="F283" s="31" t="n">
        <v>26</v>
      </c>
      <c r="G283" s="31" t="n">
        <v>6532</v>
      </c>
      <c r="H283" s="31" t="n">
        <v>1</v>
      </c>
      <c r="I283" s="32" t="n">
        <v>1.610000014</v>
      </c>
      <c r="J283" s="31" t="n">
        <v>1</v>
      </c>
      <c r="K283" s="31" t="n">
        <v>0</v>
      </c>
    </row>
    <row r="284" customFormat="false" ht="15" hidden="false" customHeight="false" outlineLevel="0" collapsed="false">
      <c r="A284" s="31" t="n">
        <v>782815</v>
      </c>
      <c r="B284" s="31" t="n">
        <v>936</v>
      </c>
      <c r="C284" s="31" t="n">
        <v>116615</v>
      </c>
      <c r="D284" s="31" t="s">
        <v>59</v>
      </c>
      <c r="E284" s="31" t="s">
        <v>63</v>
      </c>
      <c r="F284" s="31" t="n">
        <v>10</v>
      </c>
      <c r="G284" s="31" t="n">
        <v>11537</v>
      </c>
      <c r="H284" s="31" t="n">
        <v>3</v>
      </c>
      <c r="I284" s="32" t="n">
        <v>4.300000191</v>
      </c>
      <c r="J284" s="31" t="n">
        <v>1</v>
      </c>
      <c r="K284" s="31" t="n">
        <v>0</v>
      </c>
    </row>
    <row r="285" customFormat="false" ht="15" hidden="false" customHeight="false" outlineLevel="0" collapsed="false">
      <c r="A285" s="31" t="n">
        <v>782816</v>
      </c>
      <c r="B285" s="31" t="n">
        <v>936</v>
      </c>
      <c r="C285" s="31" t="n">
        <v>116615</v>
      </c>
      <c r="D285" s="31" t="s">
        <v>59</v>
      </c>
      <c r="E285" s="31" t="s">
        <v>63</v>
      </c>
      <c r="F285" s="31" t="n">
        <v>10</v>
      </c>
      <c r="G285" s="31" t="n">
        <v>12183</v>
      </c>
      <c r="H285" s="31" t="n">
        <v>3</v>
      </c>
      <c r="I285" s="32" t="n">
        <v>2.869999945</v>
      </c>
      <c r="J285" s="31" t="n">
        <v>1</v>
      </c>
      <c r="K285" s="31" t="n">
        <v>0</v>
      </c>
    </row>
    <row r="286" customFormat="false" ht="15" hidden="false" customHeight="false" outlineLevel="0" collapsed="false">
      <c r="A286" s="31" t="n">
        <v>782862</v>
      </c>
      <c r="B286" s="31" t="n">
        <v>936</v>
      </c>
      <c r="C286" s="31" t="n">
        <v>116623</v>
      </c>
      <c r="D286" s="31" t="s">
        <v>58</v>
      </c>
      <c r="E286" s="31" t="s">
        <v>63</v>
      </c>
      <c r="F286" s="31" t="n">
        <v>64</v>
      </c>
      <c r="G286" s="31" t="n">
        <v>5912</v>
      </c>
      <c r="H286" s="31" t="n">
        <v>1</v>
      </c>
      <c r="I286" s="32" t="n">
        <v>1.559999943</v>
      </c>
      <c r="J286" s="31" t="n">
        <v>1</v>
      </c>
      <c r="K286" s="31" t="n">
        <v>1</v>
      </c>
    </row>
    <row r="287" customFormat="false" ht="15" hidden="false" customHeight="false" outlineLevel="0" collapsed="false">
      <c r="A287" s="31" t="n">
        <v>950068</v>
      </c>
      <c r="B287" s="31" t="n">
        <v>936</v>
      </c>
      <c r="C287" s="31" t="n">
        <v>123438</v>
      </c>
      <c r="D287" s="31" t="s">
        <v>57</v>
      </c>
      <c r="E287" s="31" t="s">
        <v>64</v>
      </c>
      <c r="F287" s="31" t="n">
        <v>10</v>
      </c>
      <c r="G287" s="31" t="n">
        <v>4012</v>
      </c>
      <c r="H287" s="31" t="n">
        <v>1</v>
      </c>
      <c r="I287" s="32" t="n">
        <v>1.570000052</v>
      </c>
      <c r="J287" s="31" t="n">
        <v>1</v>
      </c>
      <c r="K287" s="31" t="n">
        <v>0</v>
      </c>
    </row>
    <row r="288" customFormat="false" ht="15" hidden="false" customHeight="false" outlineLevel="0" collapsed="false">
      <c r="A288" s="31" t="n">
        <v>950078</v>
      </c>
      <c r="B288" s="31" t="n">
        <v>936</v>
      </c>
      <c r="C288" s="31" t="n">
        <v>123440</v>
      </c>
      <c r="D288" s="31" t="s">
        <v>57</v>
      </c>
      <c r="E288" s="31" t="s">
        <v>64</v>
      </c>
      <c r="F288" s="31" t="n">
        <v>16</v>
      </c>
      <c r="G288" s="31" t="n">
        <v>12396</v>
      </c>
      <c r="H288" s="31" t="n">
        <v>2</v>
      </c>
      <c r="I288" s="32" t="n">
        <v>3.210000038</v>
      </c>
      <c r="J288" s="31" t="n">
        <v>2</v>
      </c>
      <c r="K288" s="31" t="n">
        <v>1</v>
      </c>
    </row>
    <row r="289" customFormat="false" ht="15" hidden="false" customHeight="false" outlineLevel="0" collapsed="false">
      <c r="A289" s="31" t="n">
        <v>950183</v>
      </c>
      <c r="B289" s="31" t="n">
        <v>936</v>
      </c>
      <c r="C289" s="31" t="n">
        <v>123457</v>
      </c>
      <c r="D289" s="31" t="s">
        <v>57</v>
      </c>
      <c r="E289" s="31" t="s">
        <v>64</v>
      </c>
      <c r="F289" s="31" t="n">
        <v>16</v>
      </c>
      <c r="G289" s="31" t="n">
        <v>15720</v>
      </c>
      <c r="H289" s="31" t="n">
        <v>1</v>
      </c>
      <c r="I289" s="32" t="n">
        <v>1.379999995</v>
      </c>
      <c r="J289" s="31" t="n">
        <v>1</v>
      </c>
      <c r="K289" s="31" t="n">
        <v>0</v>
      </c>
    </row>
    <row r="290" customFormat="false" ht="15" hidden="false" customHeight="false" outlineLevel="0" collapsed="false">
      <c r="A290" s="31" t="n">
        <v>950224</v>
      </c>
      <c r="B290" s="31" t="n">
        <v>936</v>
      </c>
      <c r="C290" s="31" t="n">
        <v>123464</v>
      </c>
      <c r="D290" s="31" t="s">
        <v>59</v>
      </c>
      <c r="E290" s="31" t="s">
        <v>64</v>
      </c>
      <c r="F290" s="31" t="n">
        <v>20</v>
      </c>
      <c r="G290" s="31" t="n">
        <v>2367</v>
      </c>
      <c r="H290" s="31" t="n">
        <v>2</v>
      </c>
      <c r="I290" s="32" t="n">
        <v>2.839999914</v>
      </c>
      <c r="J290" s="31" t="n">
        <v>1</v>
      </c>
      <c r="K290" s="31" t="n">
        <v>1</v>
      </c>
    </row>
    <row r="291" customFormat="false" ht="15" hidden="false" customHeight="false" outlineLevel="0" collapsed="false">
      <c r="A291" s="31" t="n">
        <v>950326</v>
      </c>
      <c r="B291" s="31" t="n">
        <v>936</v>
      </c>
      <c r="C291" s="31" t="n">
        <v>123481</v>
      </c>
      <c r="D291" s="31" t="s">
        <v>58</v>
      </c>
      <c r="E291" s="31" t="s">
        <v>64</v>
      </c>
      <c r="F291" s="31" t="n">
        <v>16</v>
      </c>
      <c r="G291" s="31" t="n">
        <v>6607</v>
      </c>
      <c r="H291" s="31" t="n">
        <v>1</v>
      </c>
      <c r="I291" s="32" t="n">
        <v>1.320000052</v>
      </c>
      <c r="J291" s="31" t="n">
        <v>2</v>
      </c>
      <c r="K291" s="31" t="n">
        <v>0</v>
      </c>
    </row>
    <row r="292" customFormat="false" ht="15" hidden="false" customHeight="false" outlineLevel="0" collapsed="false">
      <c r="A292" s="31" t="n">
        <v>950452</v>
      </c>
      <c r="B292" s="31" t="n">
        <v>936</v>
      </c>
      <c r="C292" s="31" t="n">
        <v>123502</v>
      </c>
      <c r="D292" s="31" t="s">
        <v>60</v>
      </c>
      <c r="E292" s="31" t="s">
        <v>64</v>
      </c>
      <c r="F292" s="31" t="n">
        <v>16</v>
      </c>
      <c r="G292" s="31" t="n">
        <v>5537</v>
      </c>
      <c r="H292" s="31" t="n">
        <v>1</v>
      </c>
      <c r="I292" s="32" t="n">
        <v>1.519999981</v>
      </c>
      <c r="J292" s="31" t="n">
        <v>1</v>
      </c>
      <c r="K292" s="31" t="n">
        <v>0</v>
      </c>
    </row>
    <row r="293" customFormat="false" ht="15" hidden="false" customHeight="false" outlineLevel="0" collapsed="false">
      <c r="A293" s="31" t="n">
        <v>950495</v>
      </c>
      <c r="B293" s="31" t="n">
        <v>936</v>
      </c>
      <c r="C293" s="31" t="n">
        <v>123509</v>
      </c>
      <c r="D293" s="31" t="s">
        <v>60</v>
      </c>
      <c r="E293" s="31" t="s">
        <v>64</v>
      </c>
      <c r="F293" s="31" t="n">
        <v>21</v>
      </c>
      <c r="G293" s="31" t="n">
        <v>1909</v>
      </c>
      <c r="H293" s="31" t="n">
        <v>1</v>
      </c>
      <c r="I293" s="32" t="n">
        <v>0.980000019</v>
      </c>
      <c r="J293" s="31" t="n">
        <v>1</v>
      </c>
      <c r="K293" s="31" t="n">
        <v>0</v>
      </c>
    </row>
    <row r="294" customFormat="false" ht="15" hidden="false" customHeight="false" outlineLevel="0" collapsed="false">
      <c r="A294" s="31" t="n">
        <v>950537</v>
      </c>
      <c r="B294" s="31" t="n">
        <v>936</v>
      </c>
      <c r="C294" s="31" t="n">
        <v>123516</v>
      </c>
      <c r="D294" s="31" t="s">
        <v>59</v>
      </c>
      <c r="E294" s="31" t="s">
        <v>64</v>
      </c>
      <c r="F294" s="31" t="n">
        <v>36</v>
      </c>
      <c r="G294" s="31" t="n">
        <v>1884</v>
      </c>
      <c r="H294" s="31" t="n">
        <v>1</v>
      </c>
      <c r="I294" s="32" t="n">
        <v>1.409999967</v>
      </c>
      <c r="J294" s="31" t="n">
        <v>1</v>
      </c>
      <c r="K294" s="31" t="n">
        <v>0</v>
      </c>
    </row>
    <row r="295" customFormat="false" ht="15" hidden="false" customHeight="false" outlineLevel="0" collapsed="false">
      <c r="A295" s="31" t="n">
        <v>950770</v>
      </c>
      <c r="B295" s="31" t="n">
        <v>936</v>
      </c>
      <c r="C295" s="31" t="n">
        <v>123555</v>
      </c>
      <c r="D295" s="31" t="s">
        <v>57</v>
      </c>
      <c r="E295" s="31" t="s">
        <v>64</v>
      </c>
      <c r="F295" s="31" t="n">
        <v>28</v>
      </c>
      <c r="G295" s="31" t="n">
        <v>7780</v>
      </c>
      <c r="H295" s="31" t="n">
        <v>3</v>
      </c>
      <c r="I295" s="32" t="n">
        <v>4.329999924</v>
      </c>
      <c r="J295" s="31" t="n">
        <v>2</v>
      </c>
      <c r="K295" s="31" t="n">
        <v>2</v>
      </c>
    </row>
    <row r="296" customFormat="false" ht="15" hidden="false" customHeight="false" outlineLevel="0" collapsed="false">
      <c r="A296" s="31" t="n">
        <v>950776</v>
      </c>
      <c r="B296" s="31" t="n">
        <v>936</v>
      </c>
      <c r="C296" s="31" t="n">
        <v>123556</v>
      </c>
      <c r="D296" s="31" t="s">
        <v>58</v>
      </c>
      <c r="E296" s="31" t="s">
        <v>64</v>
      </c>
      <c r="F296" s="31" t="n">
        <v>28</v>
      </c>
      <c r="G296" s="31" t="n">
        <v>2633</v>
      </c>
      <c r="H296" s="31" t="n">
        <v>1</v>
      </c>
      <c r="I296" s="32" t="n">
        <v>1.070000052</v>
      </c>
      <c r="J296" s="31" t="n">
        <v>1</v>
      </c>
      <c r="K296" s="31" t="n">
        <v>0</v>
      </c>
    </row>
    <row r="297" customFormat="false" ht="15" hidden="false" customHeight="false" outlineLevel="0" collapsed="false">
      <c r="A297" s="31" t="n">
        <v>950878</v>
      </c>
      <c r="B297" s="31" t="n">
        <v>936</v>
      </c>
      <c r="C297" s="31" t="n">
        <v>123573</v>
      </c>
      <c r="D297" s="31" t="s">
        <v>59</v>
      </c>
      <c r="E297" s="31" t="s">
        <v>64</v>
      </c>
      <c r="F297" s="31" t="n">
        <v>10</v>
      </c>
      <c r="G297" s="31" t="n">
        <v>2967</v>
      </c>
      <c r="H297" s="31" t="n">
        <v>1</v>
      </c>
      <c r="I297" s="32" t="n">
        <v>1.5</v>
      </c>
      <c r="J297" s="31" t="n">
        <v>1</v>
      </c>
      <c r="K297" s="31" t="n">
        <v>1</v>
      </c>
    </row>
    <row r="298" customFormat="false" ht="15" hidden="false" customHeight="false" outlineLevel="0" collapsed="false">
      <c r="A298" s="31" t="n">
        <v>951033</v>
      </c>
      <c r="B298" s="31" t="n">
        <v>936</v>
      </c>
      <c r="C298" s="31" t="n">
        <v>123599</v>
      </c>
      <c r="D298" s="31" t="s">
        <v>57</v>
      </c>
      <c r="E298" s="31" t="s">
        <v>63</v>
      </c>
      <c r="F298" s="31" t="n">
        <v>10</v>
      </c>
      <c r="G298" s="31" t="n">
        <v>5517</v>
      </c>
      <c r="H298" s="31" t="n">
        <v>1</v>
      </c>
      <c r="I298" s="32" t="n">
        <v>1.230000019</v>
      </c>
      <c r="J298" s="31" t="n">
        <v>1</v>
      </c>
      <c r="K298" s="31" t="n">
        <v>0</v>
      </c>
    </row>
    <row r="299" customFormat="false" ht="15" hidden="false" customHeight="false" outlineLevel="0" collapsed="false">
      <c r="A299" s="31" t="n">
        <v>951046</v>
      </c>
      <c r="B299" s="31" t="n">
        <v>936</v>
      </c>
      <c r="C299" s="31" t="n">
        <v>123601</v>
      </c>
      <c r="D299" s="31" t="s">
        <v>57</v>
      </c>
      <c r="E299" s="31" t="s">
        <v>63</v>
      </c>
      <c r="F299" s="31" t="n">
        <v>16</v>
      </c>
      <c r="G299" s="31" t="n">
        <v>20050</v>
      </c>
      <c r="H299" s="31" t="n">
        <v>4</v>
      </c>
      <c r="I299" s="32" t="n">
        <v>4.659999847</v>
      </c>
      <c r="J299" s="31" t="n">
        <v>4</v>
      </c>
      <c r="K299" s="31" t="n">
        <v>1</v>
      </c>
    </row>
    <row r="300" customFormat="false" ht="15" hidden="false" customHeight="false" outlineLevel="0" collapsed="false">
      <c r="A300" s="31" t="n">
        <v>951105</v>
      </c>
      <c r="B300" s="31" t="n">
        <v>936</v>
      </c>
      <c r="C300" s="31" t="n">
        <v>123611</v>
      </c>
      <c r="D300" s="31" t="s">
        <v>60</v>
      </c>
      <c r="E300" s="31" t="s">
        <v>64</v>
      </c>
      <c r="F300" s="31" t="n">
        <v>16</v>
      </c>
      <c r="G300" s="31" t="n">
        <v>5894</v>
      </c>
      <c r="H300" s="31" t="n">
        <v>1</v>
      </c>
      <c r="I300" s="32" t="n">
        <v>1.539999962</v>
      </c>
      <c r="J300" s="31" t="n">
        <v>1</v>
      </c>
      <c r="K300" s="31" t="n">
        <v>1</v>
      </c>
    </row>
    <row r="301" customFormat="false" ht="15" hidden="false" customHeight="false" outlineLevel="0" collapsed="false">
      <c r="A301" s="31" t="n">
        <v>951133</v>
      </c>
      <c r="B301" s="31" t="n">
        <v>936</v>
      </c>
      <c r="C301" s="31" t="n">
        <v>123616</v>
      </c>
      <c r="D301" s="31" t="s">
        <v>58</v>
      </c>
      <c r="E301" s="31" t="s">
        <v>64</v>
      </c>
      <c r="F301" s="31" t="n">
        <v>16</v>
      </c>
      <c r="G301" s="31" t="n">
        <v>9948</v>
      </c>
      <c r="H301" s="31" t="n">
        <v>2</v>
      </c>
      <c r="I301" s="32" t="n">
        <v>2.720000029</v>
      </c>
      <c r="J301" s="31" t="n">
        <v>2</v>
      </c>
      <c r="K301" s="31" t="n">
        <v>0</v>
      </c>
    </row>
    <row r="302" customFormat="false" ht="15" hidden="false" customHeight="false" outlineLevel="0" collapsed="false">
      <c r="A302" s="31" t="n">
        <v>951202</v>
      </c>
      <c r="B302" s="31" t="n">
        <v>936</v>
      </c>
      <c r="C302" s="31" t="n">
        <v>123627</v>
      </c>
      <c r="D302" s="31" t="s">
        <v>60</v>
      </c>
      <c r="E302" s="31" t="s">
        <v>63</v>
      </c>
      <c r="F302" s="31" t="n">
        <v>26</v>
      </c>
      <c r="G302" s="31" t="n">
        <v>5307</v>
      </c>
      <c r="H302" s="31" t="n">
        <v>3</v>
      </c>
      <c r="I302" s="32" t="n">
        <v>4.289999962</v>
      </c>
      <c r="J302" s="31" t="n">
        <v>2</v>
      </c>
      <c r="K302" s="31" t="n">
        <v>1</v>
      </c>
    </row>
    <row r="303" customFormat="false" ht="15" hidden="false" customHeight="false" outlineLevel="0" collapsed="false">
      <c r="A303" s="31" t="n">
        <v>951225</v>
      </c>
      <c r="B303" s="31" t="n">
        <v>936</v>
      </c>
      <c r="C303" s="31" t="n">
        <v>123631</v>
      </c>
      <c r="D303" s="31" t="s">
        <v>58</v>
      </c>
      <c r="E303" s="31" t="s">
        <v>63</v>
      </c>
      <c r="F303" s="31" t="n">
        <v>22</v>
      </c>
      <c r="G303" s="31" t="n">
        <v>4621</v>
      </c>
      <c r="H303" s="31" t="n">
        <v>2</v>
      </c>
      <c r="I303" s="32" t="n">
        <v>3.25</v>
      </c>
      <c r="J303" s="31" t="n">
        <v>1</v>
      </c>
      <c r="K303" s="31" t="n">
        <v>1</v>
      </c>
    </row>
    <row r="304" customFormat="false" ht="15" hidden="false" customHeight="false" outlineLevel="0" collapsed="false">
      <c r="A304" s="31" t="n">
        <v>951282</v>
      </c>
      <c r="B304" s="31" t="n">
        <v>936</v>
      </c>
      <c r="C304" s="31" t="n">
        <v>123641</v>
      </c>
      <c r="D304" s="31" t="s">
        <v>58</v>
      </c>
      <c r="E304" s="31" t="s">
        <v>63</v>
      </c>
      <c r="F304" s="31" t="n">
        <v>16</v>
      </c>
      <c r="G304" s="31" t="n">
        <v>5775</v>
      </c>
      <c r="H304" s="31" t="n">
        <v>1</v>
      </c>
      <c r="I304" s="32" t="n">
        <v>1.580000043</v>
      </c>
      <c r="J304" s="31" t="n">
        <v>1</v>
      </c>
      <c r="K304" s="31" t="n">
        <v>1</v>
      </c>
    </row>
    <row r="305" customFormat="false" ht="15" hidden="false" customHeight="false" outlineLevel="0" collapsed="false">
      <c r="A305" s="31" t="n">
        <v>951285</v>
      </c>
      <c r="B305" s="31" t="n">
        <v>936</v>
      </c>
      <c r="C305" s="31" t="n">
        <v>123641</v>
      </c>
      <c r="D305" s="31" t="s">
        <v>58</v>
      </c>
      <c r="E305" s="31" t="s">
        <v>63</v>
      </c>
      <c r="F305" s="31" t="n">
        <v>16</v>
      </c>
      <c r="G305" s="31" t="n">
        <v>9297</v>
      </c>
      <c r="H305" s="31" t="n">
        <v>2</v>
      </c>
      <c r="I305" s="32" t="n">
        <v>2.619999886</v>
      </c>
      <c r="J305" s="31" t="n">
        <v>2</v>
      </c>
      <c r="K305" s="31" t="n">
        <v>1</v>
      </c>
    </row>
    <row r="306" customFormat="false" ht="15" hidden="false" customHeight="false" outlineLevel="0" collapsed="false">
      <c r="A306" s="31" t="n">
        <v>951334</v>
      </c>
      <c r="B306" s="31" t="n">
        <v>936</v>
      </c>
      <c r="C306" s="31" t="n">
        <v>123649</v>
      </c>
      <c r="D306" s="31" t="s">
        <v>57</v>
      </c>
      <c r="E306" s="31" t="s">
        <v>63</v>
      </c>
      <c r="F306" s="31" t="n">
        <v>64</v>
      </c>
      <c r="G306" s="31" t="n">
        <v>3717</v>
      </c>
      <c r="H306" s="31" t="n">
        <v>1</v>
      </c>
      <c r="I306" s="32" t="n">
        <v>1.539999962</v>
      </c>
      <c r="J306" s="31" t="n">
        <v>1</v>
      </c>
      <c r="K306" s="31" t="n">
        <v>0</v>
      </c>
    </row>
    <row r="307" customFormat="false" ht="15" hidden="false" customHeight="false" outlineLevel="0" collapsed="false">
      <c r="A307" s="31" t="n">
        <v>951391</v>
      </c>
      <c r="B307" s="31" t="n">
        <v>936</v>
      </c>
      <c r="C307" s="31" t="n">
        <v>123659</v>
      </c>
      <c r="D307" s="31" t="s">
        <v>57</v>
      </c>
      <c r="E307" s="31" t="s">
        <v>63</v>
      </c>
      <c r="F307" s="31" t="n">
        <v>28</v>
      </c>
      <c r="G307" s="31" t="n">
        <v>2879</v>
      </c>
      <c r="H307" s="31" t="n">
        <v>1</v>
      </c>
      <c r="I307" s="32" t="n">
        <v>1.590000033</v>
      </c>
      <c r="J307" s="31" t="n">
        <v>2</v>
      </c>
      <c r="K307" s="31" t="n">
        <v>2</v>
      </c>
    </row>
    <row r="308" customFormat="false" ht="15" hidden="false" customHeight="false" outlineLevel="0" collapsed="false">
      <c r="A308" s="31" t="n">
        <v>951392</v>
      </c>
      <c r="B308" s="31" t="n">
        <v>936</v>
      </c>
      <c r="C308" s="31" t="n">
        <v>123659</v>
      </c>
      <c r="D308" s="31" t="s">
        <v>57</v>
      </c>
      <c r="E308" s="31" t="s">
        <v>63</v>
      </c>
      <c r="F308" s="31" t="n">
        <v>28</v>
      </c>
      <c r="G308" s="31" t="n">
        <v>2749</v>
      </c>
      <c r="H308" s="31" t="n">
        <v>1</v>
      </c>
      <c r="I308" s="32" t="n">
        <v>1.389999986</v>
      </c>
      <c r="J308" s="31" t="n">
        <v>1</v>
      </c>
      <c r="K308" s="31" t="n">
        <v>0</v>
      </c>
    </row>
    <row r="309" customFormat="false" ht="15" hidden="false" customHeight="false" outlineLevel="0" collapsed="false">
      <c r="A309" s="31" t="n">
        <v>951400</v>
      </c>
      <c r="B309" s="31" t="n">
        <v>936</v>
      </c>
      <c r="C309" s="31" t="n">
        <v>123660</v>
      </c>
      <c r="D309" s="31" t="s">
        <v>60</v>
      </c>
      <c r="E309" s="31" t="s">
        <v>63</v>
      </c>
      <c r="F309" s="31" t="n">
        <v>10</v>
      </c>
      <c r="G309" s="31" t="n">
        <v>24028</v>
      </c>
      <c r="H309" s="31" t="n">
        <v>9</v>
      </c>
      <c r="I309" s="32" t="n">
        <v>12.39000034</v>
      </c>
      <c r="J309" s="31" t="n">
        <v>2</v>
      </c>
      <c r="K309" s="31" t="n">
        <v>0</v>
      </c>
    </row>
    <row r="310" customFormat="false" ht="15" hidden="false" customHeight="false" outlineLevel="0" collapsed="false">
      <c r="A310" s="31" t="n">
        <v>951444</v>
      </c>
      <c r="B310" s="31" t="n">
        <v>936</v>
      </c>
      <c r="C310" s="31" t="n">
        <v>123668</v>
      </c>
      <c r="D310" s="31" t="s">
        <v>57</v>
      </c>
      <c r="E310" s="31" t="s">
        <v>63</v>
      </c>
      <c r="F310" s="31" t="n">
        <v>25</v>
      </c>
      <c r="G310" s="31" t="n">
        <v>2983</v>
      </c>
      <c r="H310" s="31" t="n">
        <v>1</v>
      </c>
      <c r="I310" s="32" t="n">
        <v>0.970000029</v>
      </c>
      <c r="J310" s="31" t="n">
        <v>1</v>
      </c>
      <c r="K310" s="31" t="n">
        <v>0</v>
      </c>
    </row>
    <row r="311" customFormat="false" ht="15" hidden="false" customHeight="false" outlineLevel="0" collapsed="false">
      <c r="A311" s="31" t="n">
        <v>951462</v>
      </c>
      <c r="B311" s="31" t="n">
        <v>936</v>
      </c>
      <c r="C311" s="31" t="n">
        <v>123671</v>
      </c>
      <c r="D311" s="31" t="s">
        <v>60</v>
      </c>
      <c r="E311" s="31" t="s">
        <v>63</v>
      </c>
      <c r="F311" s="31" t="n">
        <v>16</v>
      </c>
      <c r="G311" s="31" t="n">
        <v>7589</v>
      </c>
      <c r="H311" s="31" t="n">
        <v>2</v>
      </c>
      <c r="I311" s="32" t="n">
        <v>3.150000095</v>
      </c>
      <c r="J311" s="31" t="n">
        <v>1</v>
      </c>
      <c r="K311" s="31" t="n">
        <v>1</v>
      </c>
    </row>
    <row r="312" customFormat="false" ht="15" hidden="false" customHeight="false" outlineLevel="0" collapsed="false">
      <c r="A312" s="31" t="n">
        <v>951464</v>
      </c>
      <c r="B312" s="31" t="n">
        <v>936</v>
      </c>
      <c r="C312" s="31" t="n">
        <v>123671</v>
      </c>
      <c r="D312" s="31" t="s">
        <v>60</v>
      </c>
      <c r="E312" s="31" t="s">
        <v>63</v>
      </c>
      <c r="F312" s="31" t="n">
        <v>16</v>
      </c>
      <c r="G312" s="31" t="n">
        <v>20997</v>
      </c>
      <c r="H312" s="31" t="n">
        <v>10</v>
      </c>
      <c r="I312" s="32" t="n">
        <v>11.94999981</v>
      </c>
      <c r="J312" s="31" t="n">
        <v>1</v>
      </c>
      <c r="K312" s="31" t="n">
        <v>0</v>
      </c>
    </row>
    <row r="313" customFormat="false" ht="15" hidden="false" customHeight="false" outlineLevel="0" collapsed="false">
      <c r="A313" s="31" t="n">
        <v>951465</v>
      </c>
      <c r="B313" s="31" t="n">
        <v>936</v>
      </c>
      <c r="C313" s="31" t="n">
        <v>123671</v>
      </c>
      <c r="D313" s="31" t="s">
        <v>60</v>
      </c>
      <c r="E313" s="31" t="s">
        <v>63</v>
      </c>
      <c r="F313" s="31" t="n">
        <v>16</v>
      </c>
      <c r="G313" s="31" t="n">
        <v>4617</v>
      </c>
      <c r="H313" s="31" t="n">
        <v>1</v>
      </c>
      <c r="I313" s="32" t="n">
        <v>1.360000014</v>
      </c>
      <c r="J313" s="31" t="n">
        <v>1</v>
      </c>
      <c r="K313" s="31" t="n">
        <v>0</v>
      </c>
    </row>
    <row r="314" customFormat="false" ht="15" hidden="false" customHeight="false" outlineLevel="0" collapsed="false">
      <c r="A314" s="31" t="n">
        <v>951608</v>
      </c>
      <c r="B314" s="31" t="n">
        <v>936</v>
      </c>
      <c r="C314" s="31" t="n">
        <v>123695</v>
      </c>
      <c r="D314" s="31" t="s">
        <v>59</v>
      </c>
      <c r="E314" s="31" t="s">
        <v>63</v>
      </c>
      <c r="F314" s="31" t="n">
        <v>10</v>
      </c>
      <c r="G314" s="31" t="n">
        <v>3149</v>
      </c>
      <c r="H314" s="31" t="n">
        <v>1</v>
      </c>
      <c r="I314" s="32" t="n">
        <v>1.480000019</v>
      </c>
      <c r="J314" s="31" t="n">
        <v>1</v>
      </c>
      <c r="K314" s="31" t="n">
        <v>0</v>
      </c>
    </row>
    <row r="315" customFormat="false" ht="15" hidden="false" customHeight="false" outlineLevel="0" collapsed="false">
      <c r="A315" s="31" t="n">
        <v>951677</v>
      </c>
      <c r="B315" s="31" t="n">
        <v>936</v>
      </c>
      <c r="C315" s="31" t="n">
        <v>123706</v>
      </c>
      <c r="D315" s="31" t="s">
        <v>58</v>
      </c>
      <c r="E315" s="31" t="s">
        <v>63</v>
      </c>
      <c r="F315" s="31" t="n">
        <v>27</v>
      </c>
      <c r="G315" s="31" t="n">
        <v>2563</v>
      </c>
      <c r="H315" s="31" t="n">
        <v>1</v>
      </c>
      <c r="I315" s="32" t="n">
        <v>1.480000019</v>
      </c>
      <c r="J315" s="31" t="n">
        <v>1</v>
      </c>
      <c r="K315" s="31" t="n">
        <v>0</v>
      </c>
    </row>
    <row r="316" customFormat="false" ht="15" hidden="false" customHeight="false" outlineLevel="0" collapsed="false">
      <c r="A316" s="31" t="n">
        <v>951715</v>
      </c>
      <c r="B316" s="31" t="n">
        <v>936</v>
      </c>
      <c r="C316" s="31" t="n">
        <v>123713</v>
      </c>
      <c r="D316" s="31" t="s">
        <v>60</v>
      </c>
      <c r="E316" s="31" t="s">
        <v>63</v>
      </c>
      <c r="F316" s="31" t="n">
        <v>64</v>
      </c>
      <c r="G316" s="31" t="n">
        <v>10677</v>
      </c>
      <c r="H316" s="31" t="n">
        <v>5</v>
      </c>
      <c r="I316" s="32" t="n">
        <v>7.269999981</v>
      </c>
      <c r="J316" s="31" t="n">
        <v>1</v>
      </c>
      <c r="K316" s="31" t="n">
        <v>0</v>
      </c>
    </row>
    <row r="317" customFormat="false" ht="15" hidden="false" customHeight="false" outlineLevel="0" collapsed="false">
      <c r="A317" s="31" t="n">
        <v>951756</v>
      </c>
      <c r="B317" s="31" t="n">
        <v>936</v>
      </c>
      <c r="C317" s="31" t="n">
        <v>123720</v>
      </c>
      <c r="D317" s="31" t="s">
        <v>58</v>
      </c>
      <c r="E317" s="31" t="s">
        <v>63</v>
      </c>
      <c r="F317" s="31" t="n">
        <v>22</v>
      </c>
      <c r="G317" s="31" t="n">
        <v>2189</v>
      </c>
      <c r="H317" s="31" t="n">
        <v>1</v>
      </c>
      <c r="I317" s="32" t="n">
        <v>0.409999996</v>
      </c>
      <c r="J317" s="31" t="n">
        <v>1</v>
      </c>
      <c r="K317" s="31" t="n">
        <v>0</v>
      </c>
    </row>
    <row r="318" customFormat="false" ht="15" hidden="false" customHeight="false" outlineLevel="0" collapsed="false">
      <c r="A318" s="31" t="n">
        <v>951779</v>
      </c>
      <c r="B318" s="31" t="n">
        <v>936</v>
      </c>
      <c r="C318" s="31" t="n">
        <v>123723</v>
      </c>
      <c r="D318" s="31" t="s">
        <v>60</v>
      </c>
      <c r="E318" s="31" t="s">
        <v>63</v>
      </c>
      <c r="F318" s="31" t="n">
        <v>27</v>
      </c>
      <c r="G318" s="31" t="n">
        <v>3277</v>
      </c>
      <c r="H318" s="31" t="n">
        <v>2</v>
      </c>
      <c r="I318" s="32" t="n">
        <v>2.680000067</v>
      </c>
      <c r="J318" s="31" t="n">
        <v>1</v>
      </c>
      <c r="K318" s="31" t="n">
        <v>0</v>
      </c>
    </row>
    <row r="319" customFormat="false" ht="15" hidden="false" customHeight="false" outlineLevel="0" collapsed="false">
      <c r="A319" s="31" t="n">
        <v>951812</v>
      </c>
      <c r="B319" s="31" t="n">
        <v>936</v>
      </c>
      <c r="C319" s="31" t="n">
        <v>123729</v>
      </c>
      <c r="D319" s="31" t="s">
        <v>58</v>
      </c>
      <c r="E319" s="31" t="s">
        <v>63</v>
      </c>
      <c r="F319" s="31" t="n">
        <v>16</v>
      </c>
      <c r="G319" s="31" t="n">
        <v>16274</v>
      </c>
      <c r="H319" s="31" t="n">
        <v>4</v>
      </c>
      <c r="I319" s="32" t="n">
        <v>6.079999924</v>
      </c>
      <c r="J319" s="31" t="n">
        <v>2</v>
      </c>
      <c r="K319" s="31" t="n">
        <v>0</v>
      </c>
    </row>
    <row r="320" customFormat="false" ht="15" hidden="false" customHeight="false" outlineLevel="0" collapsed="false">
      <c r="A320" s="31" t="n">
        <v>951837</v>
      </c>
      <c r="B320" s="31" t="n">
        <v>936</v>
      </c>
      <c r="C320" s="31" t="n">
        <v>123733</v>
      </c>
      <c r="D320" s="31" t="s">
        <v>60</v>
      </c>
      <c r="E320" s="31" t="s">
        <v>63</v>
      </c>
      <c r="F320" s="31" t="n">
        <v>20</v>
      </c>
      <c r="G320" s="31" t="n">
        <v>2077</v>
      </c>
      <c r="H320" s="31" t="n">
        <v>1</v>
      </c>
      <c r="I320" s="32" t="n">
        <v>1.50999999</v>
      </c>
      <c r="J320" s="31" t="n">
        <v>1</v>
      </c>
      <c r="K320" s="31" t="n">
        <v>1</v>
      </c>
    </row>
    <row r="321" customFormat="false" ht="15" hidden="false" customHeight="false" outlineLevel="0" collapsed="false">
      <c r="A321" s="31" t="n">
        <v>951856</v>
      </c>
      <c r="B321" s="31" t="n">
        <v>936</v>
      </c>
      <c r="C321" s="31" t="n">
        <v>123736</v>
      </c>
      <c r="D321" s="31" t="s">
        <v>57</v>
      </c>
      <c r="E321" s="31" t="s">
        <v>63</v>
      </c>
      <c r="F321" s="31" t="n">
        <v>20</v>
      </c>
      <c r="G321" s="31" t="n">
        <v>4626</v>
      </c>
      <c r="H321" s="31" t="n">
        <v>2</v>
      </c>
      <c r="I321" s="32" t="n">
        <v>2.099999905</v>
      </c>
      <c r="J321" s="31" t="n">
        <v>2</v>
      </c>
      <c r="K321" s="31" t="n">
        <v>0</v>
      </c>
    </row>
    <row r="322" customFormat="false" ht="15" hidden="false" customHeight="false" outlineLevel="0" collapsed="false">
      <c r="A322" s="31" t="n">
        <v>951941</v>
      </c>
      <c r="B322" s="31" t="n">
        <v>936</v>
      </c>
      <c r="C322" s="31" t="n">
        <v>123750</v>
      </c>
      <c r="D322" s="31" t="s">
        <v>57</v>
      </c>
      <c r="E322" s="31" t="s">
        <v>63</v>
      </c>
      <c r="F322" s="31" t="n">
        <v>28</v>
      </c>
      <c r="G322" s="31" t="n">
        <v>2764</v>
      </c>
      <c r="H322" s="31" t="n">
        <v>1</v>
      </c>
      <c r="I322" s="32" t="n">
        <v>1.559999943</v>
      </c>
      <c r="J322" s="31" t="n">
        <v>1</v>
      </c>
      <c r="K322" s="31" t="n">
        <v>1</v>
      </c>
    </row>
    <row r="323" customFormat="false" ht="15" hidden="false" customHeight="false" outlineLevel="0" collapsed="false">
      <c r="A323" s="31" t="n">
        <v>952001</v>
      </c>
      <c r="B323" s="31" t="n">
        <v>936</v>
      </c>
      <c r="C323" s="31" t="n">
        <v>123760</v>
      </c>
      <c r="D323" s="31" t="s">
        <v>60</v>
      </c>
      <c r="E323" s="31" t="s">
        <v>63</v>
      </c>
      <c r="F323" s="31" t="n">
        <v>10</v>
      </c>
      <c r="G323" s="31" t="n">
        <v>5447</v>
      </c>
      <c r="H323" s="31" t="n">
        <v>2</v>
      </c>
      <c r="I323" s="32" t="n">
        <v>2.960000038</v>
      </c>
      <c r="J323" s="31" t="n">
        <v>1</v>
      </c>
      <c r="K323" s="31" t="n">
        <v>0</v>
      </c>
    </row>
    <row r="324" customFormat="false" ht="15" hidden="false" customHeight="false" outlineLevel="0" collapsed="false">
      <c r="A324" s="31" t="n">
        <v>952031</v>
      </c>
      <c r="B324" s="31" t="n">
        <v>936</v>
      </c>
      <c r="C324" s="31" t="n">
        <v>123765</v>
      </c>
      <c r="D324" s="31" t="s">
        <v>59</v>
      </c>
      <c r="E324" s="31" t="s">
        <v>63</v>
      </c>
      <c r="F324" s="31" t="n">
        <v>16</v>
      </c>
      <c r="G324" s="31" t="n">
        <v>28169</v>
      </c>
      <c r="H324" s="31" t="n">
        <v>8</v>
      </c>
      <c r="I324" s="32" t="n">
        <v>12.36999989</v>
      </c>
      <c r="J324" s="31" t="n">
        <v>1</v>
      </c>
      <c r="K324" s="31" t="n">
        <v>1</v>
      </c>
    </row>
    <row r="325" customFormat="false" ht="15" hidden="false" customHeight="false" outlineLevel="0" collapsed="false">
      <c r="A325" s="31" t="n">
        <v>1121091</v>
      </c>
      <c r="B325" s="31" t="n">
        <v>1178</v>
      </c>
      <c r="C325" s="31" t="n">
        <v>144531</v>
      </c>
      <c r="D325" s="31" t="s">
        <v>57</v>
      </c>
      <c r="E325" s="31" t="s">
        <v>64</v>
      </c>
      <c r="F325" s="31" t="n">
        <v>10</v>
      </c>
      <c r="G325" s="31" t="n">
        <v>1194718</v>
      </c>
      <c r="H325" s="31" t="n">
        <v>141</v>
      </c>
      <c r="I325" s="32" t="n">
        <v>254.049996</v>
      </c>
      <c r="J325" s="31" t="n">
        <v>28</v>
      </c>
      <c r="K325" s="31" t="n">
        <v>14</v>
      </c>
    </row>
    <row r="326" customFormat="false" ht="15" hidden="false" customHeight="false" outlineLevel="0" collapsed="false">
      <c r="A326" s="31" t="n">
        <v>1121092</v>
      </c>
      <c r="B326" s="31" t="n">
        <v>1178</v>
      </c>
      <c r="C326" s="31" t="n">
        <v>144531</v>
      </c>
      <c r="D326" s="31" t="s">
        <v>57</v>
      </c>
      <c r="E326" s="31" t="s">
        <v>64</v>
      </c>
      <c r="F326" s="31" t="n">
        <v>10</v>
      </c>
      <c r="G326" s="31" t="n">
        <v>637648</v>
      </c>
      <c r="H326" s="31" t="n">
        <v>67</v>
      </c>
      <c r="I326" s="32" t="n">
        <v>122.4</v>
      </c>
      <c r="J326" s="31" t="n">
        <v>13</v>
      </c>
      <c r="K326" s="31" t="n">
        <v>5</v>
      </c>
    </row>
    <row r="327" customFormat="false" ht="15" hidden="false" customHeight="false" outlineLevel="0" collapsed="false">
      <c r="A327" s="31" t="n">
        <v>1121095</v>
      </c>
      <c r="B327" s="31" t="n">
        <v>1178</v>
      </c>
      <c r="C327" s="31" t="n">
        <v>144531</v>
      </c>
      <c r="D327" s="31" t="s">
        <v>57</v>
      </c>
      <c r="E327" s="31" t="s">
        <v>64</v>
      </c>
      <c r="F327" s="31" t="n">
        <v>10</v>
      </c>
      <c r="G327" s="31" t="n">
        <v>459690</v>
      </c>
      <c r="H327" s="31" t="n">
        <v>50</v>
      </c>
      <c r="I327" s="32" t="n">
        <v>86.33000112</v>
      </c>
      <c r="J327" s="31" t="n">
        <v>5</v>
      </c>
      <c r="K327" s="31" t="n">
        <v>2</v>
      </c>
    </row>
    <row r="328" customFormat="false" ht="15" hidden="false" customHeight="false" outlineLevel="0" collapsed="false">
      <c r="A328" s="31" t="n">
        <v>1121096</v>
      </c>
      <c r="B328" s="31" t="n">
        <v>1178</v>
      </c>
      <c r="C328" s="31" t="n">
        <v>144531</v>
      </c>
      <c r="D328" s="31" t="s">
        <v>57</v>
      </c>
      <c r="E328" s="31" t="s">
        <v>64</v>
      </c>
      <c r="F328" s="31" t="n">
        <v>10</v>
      </c>
      <c r="G328" s="31" t="n">
        <v>750060</v>
      </c>
      <c r="H328" s="31" t="n">
        <v>86</v>
      </c>
      <c r="I328" s="32" t="n">
        <v>161.9099991</v>
      </c>
      <c r="J328" s="31" t="n">
        <v>11</v>
      </c>
      <c r="K328" s="31" t="n">
        <v>2</v>
      </c>
    </row>
    <row r="329" customFormat="false" ht="15" hidden="false" customHeight="false" outlineLevel="0" collapsed="false">
      <c r="A329" s="31" t="n">
        <v>1121097</v>
      </c>
      <c r="B329" s="31" t="n">
        <v>1178</v>
      </c>
      <c r="C329" s="31" t="n">
        <v>144532</v>
      </c>
      <c r="D329" s="31" t="s">
        <v>57</v>
      </c>
      <c r="E329" s="31" t="s">
        <v>64</v>
      </c>
      <c r="F329" s="31" t="n">
        <v>15</v>
      </c>
      <c r="G329" s="31" t="n">
        <v>30068</v>
      </c>
      <c r="H329" s="31" t="n">
        <v>1</v>
      </c>
      <c r="I329" s="32" t="n">
        <v>1.820000052</v>
      </c>
      <c r="J329" s="31" t="n">
        <v>1</v>
      </c>
      <c r="K329" s="31" t="n">
        <v>0</v>
      </c>
    </row>
    <row r="330" customFormat="false" ht="15" hidden="false" customHeight="false" outlineLevel="0" collapsed="false">
      <c r="A330" s="31" t="n">
        <v>1121098</v>
      </c>
      <c r="B330" s="31" t="n">
        <v>1178</v>
      </c>
      <c r="C330" s="31" t="n">
        <v>144532</v>
      </c>
      <c r="D330" s="31" t="s">
        <v>57</v>
      </c>
      <c r="E330" s="31" t="s">
        <v>64</v>
      </c>
      <c r="F330" s="31" t="n">
        <v>15</v>
      </c>
      <c r="G330" s="31" t="n">
        <v>1267550</v>
      </c>
      <c r="H330" s="31" t="n">
        <v>123</v>
      </c>
      <c r="I330" s="32" t="n">
        <v>236.7699986</v>
      </c>
      <c r="J330" s="31" t="n">
        <v>24</v>
      </c>
      <c r="K330" s="31" t="n">
        <v>10</v>
      </c>
    </row>
    <row r="331" customFormat="false" ht="15" hidden="false" customHeight="false" outlineLevel="0" collapsed="false">
      <c r="A331" s="31" t="n">
        <v>1121100</v>
      </c>
      <c r="B331" s="31" t="n">
        <v>1178</v>
      </c>
      <c r="C331" s="31" t="n">
        <v>144532</v>
      </c>
      <c r="D331" s="31" t="s">
        <v>57</v>
      </c>
      <c r="E331" s="31" t="s">
        <v>64</v>
      </c>
      <c r="F331" s="31" t="n">
        <v>15</v>
      </c>
      <c r="G331" s="31" t="n">
        <v>3052003</v>
      </c>
      <c r="H331" s="31" t="n">
        <v>340</v>
      </c>
      <c r="I331" s="32" t="n">
        <v>639.9499981</v>
      </c>
      <c r="J331" s="31" t="n">
        <v>60</v>
      </c>
      <c r="K331" s="31" t="n">
        <v>17</v>
      </c>
    </row>
    <row r="332" customFormat="false" ht="15" hidden="false" customHeight="false" outlineLevel="0" collapsed="false">
      <c r="A332" s="31" t="n">
        <v>1121101</v>
      </c>
      <c r="B332" s="31" t="n">
        <v>1178</v>
      </c>
      <c r="C332" s="31" t="n">
        <v>144532</v>
      </c>
      <c r="D332" s="31" t="s">
        <v>57</v>
      </c>
      <c r="E332" s="31" t="s">
        <v>64</v>
      </c>
      <c r="F332" s="31" t="n">
        <v>15</v>
      </c>
      <c r="G332" s="31" t="n">
        <v>29945</v>
      </c>
      <c r="H332" s="31" t="n">
        <v>1</v>
      </c>
      <c r="I332" s="32" t="n">
        <v>1.590000033</v>
      </c>
      <c r="J332" s="31" t="n">
        <v>2</v>
      </c>
      <c r="K332" s="31" t="n">
        <v>1</v>
      </c>
    </row>
    <row r="333" customFormat="false" ht="15" hidden="false" customHeight="false" outlineLevel="0" collapsed="false">
      <c r="A333" s="31" t="n">
        <v>1121102</v>
      </c>
      <c r="B333" s="31" t="n">
        <v>1178</v>
      </c>
      <c r="C333" s="31" t="n">
        <v>144532</v>
      </c>
      <c r="D333" s="31" t="s">
        <v>57</v>
      </c>
      <c r="E333" s="31" t="s">
        <v>64</v>
      </c>
      <c r="F333" s="31" t="n">
        <v>15</v>
      </c>
      <c r="G333" s="31" t="n">
        <v>357856</v>
      </c>
      <c r="H333" s="31" t="n">
        <v>30</v>
      </c>
      <c r="I333" s="32" t="n">
        <v>52.97000015</v>
      </c>
      <c r="J333" s="31" t="n">
        <v>7</v>
      </c>
      <c r="K333" s="31" t="n">
        <v>3</v>
      </c>
    </row>
    <row r="334" customFormat="false" ht="15" hidden="false" customHeight="false" outlineLevel="0" collapsed="false">
      <c r="A334" s="31" t="n">
        <v>1121104</v>
      </c>
      <c r="B334" s="31" t="n">
        <v>1178</v>
      </c>
      <c r="C334" s="31" t="n">
        <v>144533</v>
      </c>
      <c r="D334" s="31" t="s">
        <v>57</v>
      </c>
      <c r="E334" s="31" t="s">
        <v>64</v>
      </c>
      <c r="F334" s="31" t="n">
        <v>16</v>
      </c>
      <c r="G334" s="31" t="n">
        <v>2080666</v>
      </c>
      <c r="H334" s="31" t="n">
        <v>202</v>
      </c>
      <c r="I334" s="32" t="n">
        <v>360.1500015</v>
      </c>
      <c r="J334" s="31" t="n">
        <v>40</v>
      </c>
      <c r="K334" s="31" t="n">
        <v>21</v>
      </c>
    </row>
    <row r="335" customFormat="false" ht="15" hidden="false" customHeight="false" outlineLevel="0" collapsed="false">
      <c r="A335" s="31" t="n">
        <v>1121105</v>
      </c>
      <c r="B335" s="31" t="n">
        <v>1178</v>
      </c>
      <c r="C335" s="31" t="n">
        <v>144533</v>
      </c>
      <c r="D335" s="31" t="s">
        <v>57</v>
      </c>
      <c r="E335" s="31" t="s">
        <v>64</v>
      </c>
      <c r="F335" s="31" t="n">
        <v>16</v>
      </c>
      <c r="G335" s="31" t="n">
        <v>145999</v>
      </c>
      <c r="H335" s="31" t="n">
        <v>9</v>
      </c>
      <c r="I335" s="32" t="n">
        <v>16.5200001</v>
      </c>
      <c r="J335" s="31" t="n">
        <v>5</v>
      </c>
      <c r="K335" s="31" t="n">
        <v>2</v>
      </c>
    </row>
    <row r="336" customFormat="false" ht="15" hidden="false" customHeight="false" outlineLevel="0" collapsed="false">
      <c r="A336" s="31" t="n">
        <v>1121107</v>
      </c>
      <c r="B336" s="31" t="n">
        <v>1178</v>
      </c>
      <c r="C336" s="31" t="n">
        <v>144533</v>
      </c>
      <c r="D336" s="31" t="s">
        <v>57</v>
      </c>
      <c r="E336" s="31" t="s">
        <v>64</v>
      </c>
      <c r="F336" s="31" t="n">
        <v>16</v>
      </c>
      <c r="G336" s="31" t="n">
        <v>32616</v>
      </c>
      <c r="H336" s="31" t="n">
        <v>1</v>
      </c>
      <c r="I336" s="32" t="n">
        <v>1.539999962</v>
      </c>
      <c r="J336" s="31" t="n">
        <v>2</v>
      </c>
      <c r="K336" s="31" t="n">
        <v>0</v>
      </c>
    </row>
    <row r="337" customFormat="false" ht="15" hidden="false" customHeight="false" outlineLevel="0" collapsed="false">
      <c r="A337" s="31" t="n">
        <v>1121108</v>
      </c>
      <c r="B337" s="31" t="n">
        <v>1178</v>
      </c>
      <c r="C337" s="31" t="n">
        <v>144533</v>
      </c>
      <c r="D337" s="31" t="s">
        <v>57</v>
      </c>
      <c r="E337" s="31" t="s">
        <v>64</v>
      </c>
      <c r="F337" s="31" t="n">
        <v>16</v>
      </c>
      <c r="G337" s="31" t="n">
        <v>984521</v>
      </c>
      <c r="H337" s="31" t="n">
        <v>95</v>
      </c>
      <c r="I337" s="32" t="n">
        <v>163.8999972</v>
      </c>
      <c r="J337" s="31" t="n">
        <v>26</v>
      </c>
      <c r="K337" s="31" t="n">
        <v>14</v>
      </c>
    </row>
    <row r="338" customFormat="false" ht="15" hidden="false" customHeight="false" outlineLevel="0" collapsed="false">
      <c r="A338" s="31" t="n">
        <v>1121110</v>
      </c>
      <c r="B338" s="31" t="n">
        <v>1178</v>
      </c>
      <c r="C338" s="31" t="n">
        <v>144534</v>
      </c>
      <c r="D338" s="31" t="s">
        <v>57</v>
      </c>
      <c r="E338" s="31" t="s">
        <v>64</v>
      </c>
      <c r="F338" s="31" t="n">
        <v>18</v>
      </c>
      <c r="G338" s="31" t="n">
        <v>880814</v>
      </c>
      <c r="H338" s="31" t="n">
        <v>123</v>
      </c>
      <c r="I338" s="32" t="n">
        <v>210.3600006</v>
      </c>
      <c r="J338" s="31" t="n">
        <v>6</v>
      </c>
      <c r="K338" s="31" t="n">
        <v>2</v>
      </c>
    </row>
    <row r="339" customFormat="false" ht="15" hidden="false" customHeight="false" outlineLevel="0" collapsed="false">
      <c r="A339" s="31" t="n">
        <v>1121111</v>
      </c>
      <c r="B339" s="31" t="n">
        <v>1178</v>
      </c>
      <c r="C339" s="31" t="n">
        <v>144534</v>
      </c>
      <c r="D339" s="31" t="s">
        <v>57</v>
      </c>
      <c r="E339" s="31" t="s">
        <v>64</v>
      </c>
      <c r="F339" s="31" t="n">
        <v>18</v>
      </c>
      <c r="G339" s="31" t="n">
        <v>182452</v>
      </c>
      <c r="H339" s="31" t="n">
        <v>20</v>
      </c>
      <c r="I339" s="32" t="n">
        <v>35.73000026</v>
      </c>
      <c r="J339" s="31" t="n">
        <v>4</v>
      </c>
      <c r="K339" s="31" t="n">
        <v>1</v>
      </c>
    </row>
    <row r="340" customFormat="false" ht="15" hidden="false" customHeight="false" outlineLevel="0" collapsed="false">
      <c r="A340" s="31" t="n">
        <v>1121113</v>
      </c>
      <c r="B340" s="31" t="n">
        <v>1178</v>
      </c>
      <c r="C340" s="31" t="n">
        <v>144534</v>
      </c>
      <c r="D340" s="31" t="s">
        <v>57</v>
      </c>
      <c r="E340" s="31" t="s">
        <v>64</v>
      </c>
      <c r="F340" s="31" t="n">
        <v>18</v>
      </c>
      <c r="G340" s="31" t="n">
        <v>894911</v>
      </c>
      <c r="H340" s="31" t="n">
        <v>120</v>
      </c>
      <c r="I340" s="32" t="n">
        <v>215.8399994</v>
      </c>
      <c r="J340" s="31" t="n">
        <v>7</v>
      </c>
      <c r="K340" s="31" t="n">
        <v>4</v>
      </c>
    </row>
    <row r="341" customFormat="false" ht="15" hidden="false" customHeight="false" outlineLevel="0" collapsed="false">
      <c r="A341" s="31" t="n">
        <v>1121114</v>
      </c>
      <c r="B341" s="31" t="n">
        <v>1178</v>
      </c>
      <c r="C341" s="31" t="n">
        <v>144534</v>
      </c>
      <c r="D341" s="31" t="s">
        <v>57</v>
      </c>
      <c r="E341" s="31" t="s">
        <v>64</v>
      </c>
      <c r="F341" s="31" t="n">
        <v>18</v>
      </c>
      <c r="G341" s="31" t="n">
        <v>31349</v>
      </c>
      <c r="H341" s="31" t="n">
        <v>2</v>
      </c>
      <c r="I341" s="32" t="n">
        <v>3.800000072</v>
      </c>
      <c r="J341" s="31" t="n">
        <v>1</v>
      </c>
      <c r="K341" s="31" t="n">
        <v>0</v>
      </c>
    </row>
    <row r="342" customFormat="false" ht="15" hidden="false" customHeight="false" outlineLevel="0" collapsed="false">
      <c r="A342" s="31" t="n">
        <v>1121115</v>
      </c>
      <c r="B342" s="31" t="n">
        <v>1178</v>
      </c>
      <c r="C342" s="31" t="n">
        <v>144535</v>
      </c>
      <c r="D342" s="31" t="s">
        <v>57</v>
      </c>
      <c r="E342" s="31" t="s">
        <v>64</v>
      </c>
      <c r="F342" s="31" t="n">
        <v>19</v>
      </c>
      <c r="G342" s="31" t="n">
        <v>410310</v>
      </c>
      <c r="H342" s="31" t="n">
        <v>55</v>
      </c>
      <c r="I342" s="32" t="n">
        <v>96.80000055</v>
      </c>
      <c r="J342" s="31" t="n">
        <v>3</v>
      </c>
      <c r="K342" s="31" t="n">
        <v>0</v>
      </c>
    </row>
    <row r="343" customFormat="false" ht="15" hidden="false" customHeight="false" outlineLevel="0" collapsed="false">
      <c r="A343" s="31" t="n">
        <v>1121116</v>
      </c>
      <c r="B343" s="31" t="n">
        <v>1178</v>
      </c>
      <c r="C343" s="31" t="n">
        <v>144535</v>
      </c>
      <c r="D343" s="31" t="s">
        <v>57</v>
      </c>
      <c r="E343" s="31" t="s">
        <v>64</v>
      </c>
      <c r="F343" s="31" t="n">
        <v>19</v>
      </c>
      <c r="G343" s="31" t="n">
        <v>572450</v>
      </c>
      <c r="H343" s="31" t="n">
        <v>89</v>
      </c>
      <c r="I343" s="32" t="n">
        <v>157.329998</v>
      </c>
      <c r="J343" s="31" t="n">
        <v>7</v>
      </c>
      <c r="K343" s="31" t="n">
        <v>4</v>
      </c>
    </row>
    <row r="344" customFormat="false" ht="15" hidden="false" customHeight="false" outlineLevel="0" collapsed="false">
      <c r="A344" s="31" t="n">
        <v>1121117</v>
      </c>
      <c r="B344" s="31" t="n">
        <v>1178</v>
      </c>
      <c r="C344" s="31" t="n">
        <v>144535</v>
      </c>
      <c r="D344" s="31" t="s">
        <v>57</v>
      </c>
      <c r="E344" s="31" t="s">
        <v>64</v>
      </c>
      <c r="F344" s="31" t="n">
        <v>19</v>
      </c>
      <c r="G344" s="31" t="n">
        <v>98759</v>
      </c>
      <c r="H344" s="31" t="n">
        <v>15</v>
      </c>
      <c r="I344" s="32" t="n">
        <v>26.56999946</v>
      </c>
      <c r="J344" s="31" t="n">
        <v>1</v>
      </c>
      <c r="K344" s="31" t="n">
        <v>1</v>
      </c>
    </row>
    <row r="345" customFormat="false" ht="15" hidden="false" customHeight="false" outlineLevel="0" collapsed="false">
      <c r="A345" s="31" t="n">
        <v>1121119</v>
      </c>
      <c r="B345" s="31" t="n">
        <v>1178</v>
      </c>
      <c r="C345" s="31" t="n">
        <v>144535</v>
      </c>
      <c r="D345" s="31" t="s">
        <v>57</v>
      </c>
      <c r="E345" s="31" t="s">
        <v>64</v>
      </c>
      <c r="F345" s="31" t="n">
        <v>19</v>
      </c>
      <c r="G345" s="31" t="n">
        <v>345371</v>
      </c>
      <c r="H345" s="31" t="n">
        <v>54</v>
      </c>
      <c r="I345" s="32" t="n">
        <v>93.08999991</v>
      </c>
      <c r="J345" s="31" t="n">
        <v>7</v>
      </c>
      <c r="K345" s="31" t="n">
        <v>3</v>
      </c>
    </row>
    <row r="346" customFormat="false" ht="15" hidden="false" customHeight="false" outlineLevel="0" collapsed="false">
      <c r="A346" s="31" t="n">
        <v>1121121</v>
      </c>
      <c r="B346" s="31" t="n">
        <v>1178</v>
      </c>
      <c r="C346" s="31" t="n">
        <v>144536</v>
      </c>
      <c r="D346" s="31" t="s">
        <v>57</v>
      </c>
      <c r="E346" s="31" t="s">
        <v>64</v>
      </c>
      <c r="F346" s="31" t="n">
        <v>20</v>
      </c>
      <c r="G346" s="31" t="n">
        <v>323899</v>
      </c>
      <c r="H346" s="31" t="n">
        <v>46</v>
      </c>
      <c r="I346" s="32" t="n">
        <v>78.9200002</v>
      </c>
      <c r="J346" s="31" t="n">
        <v>5</v>
      </c>
      <c r="K346" s="31" t="n">
        <v>1</v>
      </c>
    </row>
    <row r="347" customFormat="false" ht="15" hidden="false" customHeight="false" outlineLevel="0" collapsed="false">
      <c r="A347" s="31" t="n">
        <v>1121122</v>
      </c>
      <c r="B347" s="31" t="n">
        <v>1178</v>
      </c>
      <c r="C347" s="31" t="n">
        <v>144536</v>
      </c>
      <c r="D347" s="31" t="s">
        <v>57</v>
      </c>
      <c r="E347" s="31" t="s">
        <v>64</v>
      </c>
      <c r="F347" s="31" t="n">
        <v>20</v>
      </c>
      <c r="G347" s="31" t="n">
        <v>399199</v>
      </c>
      <c r="H347" s="31" t="n">
        <v>58</v>
      </c>
      <c r="I347" s="32" t="n">
        <v>103.1500002</v>
      </c>
      <c r="J347" s="31" t="n">
        <v>3</v>
      </c>
      <c r="K347" s="31" t="n">
        <v>0</v>
      </c>
    </row>
    <row r="348" customFormat="false" ht="15" hidden="false" customHeight="false" outlineLevel="0" collapsed="false">
      <c r="A348" s="31" t="n">
        <v>1121123</v>
      </c>
      <c r="B348" s="31" t="n">
        <v>1178</v>
      </c>
      <c r="C348" s="31" t="n">
        <v>144536</v>
      </c>
      <c r="D348" s="31" t="s">
        <v>57</v>
      </c>
      <c r="E348" s="31" t="s">
        <v>64</v>
      </c>
      <c r="F348" s="31" t="n">
        <v>20</v>
      </c>
      <c r="G348" s="31" t="n">
        <v>171202</v>
      </c>
      <c r="H348" s="31" t="n">
        <v>22</v>
      </c>
      <c r="I348" s="32" t="n">
        <v>36.53000021</v>
      </c>
      <c r="J348" s="31" t="n">
        <v>3</v>
      </c>
      <c r="K348" s="31" t="n">
        <v>1</v>
      </c>
    </row>
    <row r="349" customFormat="false" ht="15" hidden="false" customHeight="false" outlineLevel="0" collapsed="false">
      <c r="A349" s="31" t="n">
        <v>1121124</v>
      </c>
      <c r="B349" s="31" t="n">
        <v>1178</v>
      </c>
      <c r="C349" s="31" t="n">
        <v>144536</v>
      </c>
      <c r="D349" s="31" t="s">
        <v>57</v>
      </c>
      <c r="E349" s="31" t="s">
        <v>64</v>
      </c>
      <c r="F349" s="31" t="n">
        <v>20</v>
      </c>
      <c r="G349" s="31" t="n">
        <v>128386</v>
      </c>
      <c r="H349" s="31" t="n">
        <v>15</v>
      </c>
      <c r="I349" s="32" t="n">
        <v>28.85000002</v>
      </c>
      <c r="J349" s="31" t="n">
        <v>2</v>
      </c>
      <c r="K349" s="31" t="n">
        <v>1</v>
      </c>
    </row>
    <row r="350" customFormat="false" ht="15" hidden="false" customHeight="false" outlineLevel="0" collapsed="false">
      <c r="A350" s="31" t="n">
        <v>1121125</v>
      </c>
      <c r="B350" s="31" t="n">
        <v>1178</v>
      </c>
      <c r="C350" s="31" t="n">
        <v>144536</v>
      </c>
      <c r="D350" s="31" t="s">
        <v>57</v>
      </c>
      <c r="E350" s="31" t="s">
        <v>64</v>
      </c>
      <c r="F350" s="31" t="n">
        <v>20</v>
      </c>
      <c r="G350" s="31" t="n">
        <v>1034284</v>
      </c>
      <c r="H350" s="31" t="n">
        <v>152</v>
      </c>
      <c r="I350" s="32" t="n">
        <v>257.7099986</v>
      </c>
      <c r="J350" s="31" t="n">
        <v>20</v>
      </c>
      <c r="K350" s="31" t="n">
        <v>9</v>
      </c>
    </row>
    <row r="351" customFormat="false" ht="15" hidden="false" customHeight="false" outlineLevel="0" collapsed="false">
      <c r="A351" s="31" t="n">
        <v>1121126</v>
      </c>
      <c r="B351" s="31" t="n">
        <v>1178</v>
      </c>
      <c r="C351" s="31" t="n">
        <v>144536</v>
      </c>
      <c r="D351" s="31" t="s">
        <v>57</v>
      </c>
      <c r="E351" s="31" t="s">
        <v>64</v>
      </c>
      <c r="F351" s="31" t="n">
        <v>20</v>
      </c>
      <c r="G351" s="31" t="n">
        <v>45923</v>
      </c>
      <c r="H351" s="31" t="n">
        <v>5</v>
      </c>
      <c r="I351" s="32" t="n">
        <v>7.220000148</v>
      </c>
      <c r="J351" s="31" t="n">
        <v>2</v>
      </c>
      <c r="K351" s="31" t="n">
        <v>0</v>
      </c>
    </row>
    <row r="352" customFormat="false" ht="15" hidden="false" customHeight="false" outlineLevel="0" collapsed="false">
      <c r="A352" s="31" t="n">
        <v>1121127</v>
      </c>
      <c r="B352" s="31" t="n">
        <v>1178</v>
      </c>
      <c r="C352" s="31" t="n">
        <v>144537</v>
      </c>
      <c r="D352" s="31" t="s">
        <v>57</v>
      </c>
      <c r="E352" s="31" t="s">
        <v>64</v>
      </c>
      <c r="F352" s="31" t="n">
        <v>21</v>
      </c>
      <c r="G352" s="31" t="n">
        <v>40873</v>
      </c>
      <c r="H352" s="31" t="n">
        <v>4</v>
      </c>
      <c r="I352" s="32" t="n">
        <v>7.899999976</v>
      </c>
      <c r="J352" s="31" t="n">
        <v>2</v>
      </c>
      <c r="K352" s="31" t="n">
        <v>1</v>
      </c>
    </row>
    <row r="353" customFormat="false" ht="15" hidden="false" customHeight="false" outlineLevel="0" collapsed="false">
      <c r="A353" s="31" t="n">
        <v>1121128</v>
      </c>
      <c r="B353" s="31" t="n">
        <v>1178</v>
      </c>
      <c r="C353" s="31" t="n">
        <v>144537</v>
      </c>
      <c r="D353" s="31" t="s">
        <v>57</v>
      </c>
      <c r="E353" s="31" t="s">
        <v>64</v>
      </c>
      <c r="F353" s="31" t="n">
        <v>21</v>
      </c>
      <c r="G353" s="31" t="n">
        <v>286553</v>
      </c>
      <c r="H353" s="31" t="n">
        <v>34</v>
      </c>
      <c r="I353" s="32" t="n">
        <v>62.06000042</v>
      </c>
      <c r="J353" s="31" t="n">
        <v>2</v>
      </c>
      <c r="K353" s="31" t="n">
        <v>1</v>
      </c>
    </row>
    <row r="354" customFormat="false" ht="15" hidden="false" customHeight="false" outlineLevel="0" collapsed="false">
      <c r="A354" s="31" t="n">
        <v>1121129</v>
      </c>
      <c r="B354" s="31" t="n">
        <v>1178</v>
      </c>
      <c r="C354" s="31" t="n">
        <v>144537</v>
      </c>
      <c r="D354" s="31" t="s">
        <v>57</v>
      </c>
      <c r="E354" s="31" t="s">
        <v>64</v>
      </c>
      <c r="F354" s="31" t="n">
        <v>21</v>
      </c>
      <c r="G354" s="31" t="n">
        <v>20618</v>
      </c>
      <c r="H354" s="31" t="n">
        <v>1</v>
      </c>
      <c r="I354" s="32" t="n">
        <v>2.099999905</v>
      </c>
      <c r="J354" s="31" t="n">
        <v>2</v>
      </c>
      <c r="K354" s="31" t="n">
        <v>1</v>
      </c>
    </row>
    <row r="355" customFormat="false" ht="15" hidden="false" customHeight="false" outlineLevel="0" collapsed="false">
      <c r="A355" s="31" t="n">
        <v>1121131</v>
      </c>
      <c r="B355" s="31" t="n">
        <v>1178</v>
      </c>
      <c r="C355" s="31" t="n">
        <v>144537</v>
      </c>
      <c r="D355" s="31" t="s">
        <v>57</v>
      </c>
      <c r="E355" s="31" t="s">
        <v>64</v>
      </c>
      <c r="F355" s="31" t="n">
        <v>21</v>
      </c>
      <c r="G355" s="31" t="n">
        <v>83591</v>
      </c>
      <c r="H355" s="31" t="n">
        <v>7</v>
      </c>
      <c r="I355" s="32" t="n">
        <v>14.14000046</v>
      </c>
      <c r="J355" s="31" t="n">
        <v>2</v>
      </c>
      <c r="K355" s="31" t="n">
        <v>2</v>
      </c>
    </row>
    <row r="356" customFormat="false" ht="15" hidden="false" customHeight="false" outlineLevel="0" collapsed="false">
      <c r="A356" s="31" t="n">
        <v>1121132</v>
      </c>
      <c r="B356" s="31" t="n">
        <v>1178</v>
      </c>
      <c r="C356" s="31" t="n">
        <v>144537</v>
      </c>
      <c r="D356" s="31" t="s">
        <v>57</v>
      </c>
      <c r="E356" s="31" t="s">
        <v>64</v>
      </c>
      <c r="F356" s="31" t="n">
        <v>21</v>
      </c>
      <c r="G356" s="31" t="n">
        <v>114923</v>
      </c>
      <c r="H356" s="31" t="n">
        <v>12</v>
      </c>
      <c r="I356" s="32" t="n">
        <v>23.73000026</v>
      </c>
      <c r="J356" s="31" t="n">
        <v>4</v>
      </c>
      <c r="K356" s="31" t="n">
        <v>2</v>
      </c>
    </row>
    <row r="357" customFormat="false" ht="15" hidden="false" customHeight="false" outlineLevel="0" collapsed="false">
      <c r="A357" s="31" t="n">
        <v>1121133</v>
      </c>
      <c r="B357" s="31" t="n">
        <v>1178</v>
      </c>
      <c r="C357" s="31" t="n">
        <v>144538</v>
      </c>
      <c r="D357" s="31" t="s">
        <v>57</v>
      </c>
      <c r="E357" s="31" t="s">
        <v>64</v>
      </c>
      <c r="F357" s="31" t="n">
        <v>22</v>
      </c>
      <c r="G357" s="31" t="n">
        <v>25002</v>
      </c>
      <c r="H357" s="31" t="n">
        <v>1</v>
      </c>
      <c r="I357" s="32" t="n">
        <v>1.710000038</v>
      </c>
      <c r="J357" s="31" t="n">
        <v>1</v>
      </c>
      <c r="K357" s="31" t="n">
        <v>0</v>
      </c>
    </row>
    <row r="358" customFormat="false" ht="15" hidden="false" customHeight="false" outlineLevel="0" collapsed="false">
      <c r="A358" s="31" t="n">
        <v>1121134</v>
      </c>
      <c r="B358" s="31" t="n">
        <v>1178</v>
      </c>
      <c r="C358" s="31" t="n">
        <v>144538</v>
      </c>
      <c r="D358" s="31" t="s">
        <v>57</v>
      </c>
      <c r="E358" s="31" t="s">
        <v>64</v>
      </c>
      <c r="F358" s="31" t="n">
        <v>22</v>
      </c>
      <c r="G358" s="31" t="n">
        <v>68905</v>
      </c>
      <c r="H358" s="31" t="n">
        <v>5</v>
      </c>
      <c r="I358" s="32" t="n">
        <v>9.440000057</v>
      </c>
      <c r="J358" s="31" t="n">
        <v>1</v>
      </c>
      <c r="K358" s="31" t="n">
        <v>0</v>
      </c>
    </row>
    <row r="359" customFormat="false" ht="15" hidden="false" customHeight="false" outlineLevel="0" collapsed="false">
      <c r="A359" s="31" t="n">
        <v>1121136</v>
      </c>
      <c r="B359" s="31" t="n">
        <v>1178</v>
      </c>
      <c r="C359" s="31" t="n">
        <v>144538</v>
      </c>
      <c r="D359" s="31" t="s">
        <v>57</v>
      </c>
      <c r="E359" s="31" t="s">
        <v>64</v>
      </c>
      <c r="F359" s="31" t="n">
        <v>22</v>
      </c>
      <c r="G359" s="31" t="n">
        <v>169588</v>
      </c>
      <c r="H359" s="31" t="n">
        <v>16</v>
      </c>
      <c r="I359" s="32" t="n">
        <v>27.79999924</v>
      </c>
      <c r="J359" s="31" t="n">
        <v>1</v>
      </c>
      <c r="K359" s="31" t="n">
        <v>0</v>
      </c>
    </row>
    <row r="360" customFormat="false" ht="15" hidden="false" customHeight="false" outlineLevel="0" collapsed="false">
      <c r="A360" s="31" t="n">
        <v>1121138</v>
      </c>
      <c r="B360" s="31" t="n">
        <v>1178</v>
      </c>
      <c r="C360" s="31" t="n">
        <v>144538</v>
      </c>
      <c r="D360" s="31" t="s">
        <v>57</v>
      </c>
      <c r="E360" s="31" t="s">
        <v>64</v>
      </c>
      <c r="F360" s="31" t="n">
        <v>22</v>
      </c>
      <c r="G360" s="31" t="n">
        <v>328991</v>
      </c>
      <c r="H360" s="31" t="n">
        <v>35</v>
      </c>
      <c r="I360" s="32" t="n">
        <v>67.65000057</v>
      </c>
      <c r="J360" s="31" t="n">
        <v>5</v>
      </c>
      <c r="K360" s="31" t="n">
        <v>2</v>
      </c>
    </row>
    <row r="361" customFormat="false" ht="15" hidden="false" customHeight="false" outlineLevel="0" collapsed="false">
      <c r="A361" s="31" t="n">
        <v>1121141</v>
      </c>
      <c r="B361" s="31" t="n">
        <v>1178</v>
      </c>
      <c r="C361" s="31" t="n">
        <v>144539</v>
      </c>
      <c r="D361" s="31" t="s">
        <v>57</v>
      </c>
      <c r="E361" s="31" t="s">
        <v>64</v>
      </c>
      <c r="F361" s="31" t="n">
        <v>23</v>
      </c>
      <c r="G361" s="31" t="n">
        <v>23198</v>
      </c>
      <c r="H361" s="31" t="n">
        <v>2</v>
      </c>
      <c r="I361" s="32" t="n">
        <v>2.980000019</v>
      </c>
      <c r="J361" s="31" t="n">
        <v>1</v>
      </c>
      <c r="K361" s="31" t="n">
        <v>0</v>
      </c>
    </row>
    <row r="362" customFormat="false" ht="15" hidden="false" customHeight="false" outlineLevel="0" collapsed="false">
      <c r="A362" s="31" t="n">
        <v>1121142</v>
      </c>
      <c r="B362" s="31" t="n">
        <v>1178</v>
      </c>
      <c r="C362" s="31" t="n">
        <v>144539</v>
      </c>
      <c r="D362" s="31" t="s">
        <v>57</v>
      </c>
      <c r="E362" s="31" t="s">
        <v>64</v>
      </c>
      <c r="F362" s="31" t="n">
        <v>23</v>
      </c>
      <c r="G362" s="31" t="n">
        <v>26890</v>
      </c>
      <c r="H362" s="31" t="n">
        <v>2</v>
      </c>
      <c r="I362" s="32" t="n">
        <v>3.24000001</v>
      </c>
      <c r="J362" s="31" t="n">
        <v>1</v>
      </c>
      <c r="K362" s="31" t="n">
        <v>0</v>
      </c>
    </row>
    <row r="363" customFormat="false" ht="15" hidden="false" customHeight="false" outlineLevel="0" collapsed="false">
      <c r="A363" s="31" t="n">
        <v>1121143</v>
      </c>
      <c r="B363" s="31" t="n">
        <v>1178</v>
      </c>
      <c r="C363" s="31" t="n">
        <v>144539</v>
      </c>
      <c r="D363" s="31" t="s">
        <v>57</v>
      </c>
      <c r="E363" s="31" t="s">
        <v>64</v>
      </c>
      <c r="F363" s="31" t="n">
        <v>23</v>
      </c>
      <c r="G363" s="31" t="n">
        <v>221695</v>
      </c>
      <c r="H363" s="31" t="n">
        <v>31</v>
      </c>
      <c r="I363" s="32" t="n">
        <v>52.26000011</v>
      </c>
      <c r="J363" s="31" t="n">
        <v>5</v>
      </c>
      <c r="K363" s="31" t="n">
        <v>2</v>
      </c>
    </row>
    <row r="364" customFormat="false" ht="15" hidden="false" customHeight="false" outlineLevel="0" collapsed="false">
      <c r="A364" s="31" t="n">
        <v>1121152</v>
      </c>
      <c r="B364" s="31" t="n">
        <v>1178</v>
      </c>
      <c r="C364" s="31" t="n">
        <v>144541</v>
      </c>
      <c r="D364" s="31" t="s">
        <v>57</v>
      </c>
      <c r="E364" s="31" t="s">
        <v>64</v>
      </c>
      <c r="F364" s="31" t="n">
        <v>24</v>
      </c>
      <c r="G364" s="31" t="n">
        <v>88443</v>
      </c>
      <c r="H364" s="31" t="n">
        <v>7</v>
      </c>
      <c r="I364" s="32" t="n">
        <v>13.0400002</v>
      </c>
      <c r="J364" s="31" t="n">
        <v>1</v>
      </c>
      <c r="K364" s="31" t="n">
        <v>1</v>
      </c>
    </row>
    <row r="365" customFormat="false" ht="15" hidden="false" customHeight="false" outlineLevel="0" collapsed="false">
      <c r="A365" s="31" t="n">
        <v>1121153</v>
      </c>
      <c r="B365" s="31" t="n">
        <v>1178</v>
      </c>
      <c r="C365" s="31" t="n">
        <v>144541</v>
      </c>
      <c r="D365" s="31" t="s">
        <v>57</v>
      </c>
      <c r="E365" s="31" t="s">
        <v>64</v>
      </c>
      <c r="F365" s="31" t="n">
        <v>24</v>
      </c>
      <c r="G365" s="31" t="n">
        <v>187856</v>
      </c>
      <c r="H365" s="31" t="n">
        <v>23</v>
      </c>
      <c r="I365" s="32" t="n">
        <v>38.38999975</v>
      </c>
      <c r="J365" s="31" t="n">
        <v>5</v>
      </c>
      <c r="K365" s="31" t="n">
        <v>1</v>
      </c>
    </row>
    <row r="366" customFormat="false" ht="15" hidden="false" customHeight="false" outlineLevel="0" collapsed="false">
      <c r="A366" s="31" t="n">
        <v>1121164</v>
      </c>
      <c r="B366" s="31" t="n">
        <v>1178</v>
      </c>
      <c r="C366" s="31" t="n">
        <v>144545</v>
      </c>
      <c r="D366" s="31" t="s">
        <v>57</v>
      </c>
      <c r="E366" s="31" t="s">
        <v>64</v>
      </c>
      <c r="F366" s="31" t="n">
        <v>25</v>
      </c>
      <c r="G366" s="31" t="n">
        <v>570699</v>
      </c>
      <c r="H366" s="31" t="n">
        <v>80</v>
      </c>
      <c r="I366" s="32" t="n">
        <v>138.7699997</v>
      </c>
      <c r="J366" s="31" t="n">
        <v>9</v>
      </c>
      <c r="K366" s="31" t="n">
        <v>2</v>
      </c>
    </row>
    <row r="367" customFormat="false" ht="15" hidden="false" customHeight="false" outlineLevel="0" collapsed="false">
      <c r="A367" s="31" t="n">
        <v>1121167</v>
      </c>
      <c r="B367" s="31" t="n">
        <v>1178</v>
      </c>
      <c r="C367" s="31" t="n">
        <v>144545</v>
      </c>
      <c r="D367" s="31" t="s">
        <v>57</v>
      </c>
      <c r="E367" s="31" t="s">
        <v>64</v>
      </c>
      <c r="F367" s="31" t="n">
        <v>25</v>
      </c>
      <c r="G367" s="31" t="n">
        <v>1063508</v>
      </c>
      <c r="H367" s="31" t="n">
        <v>145</v>
      </c>
      <c r="I367" s="32" t="n">
        <v>260.3800013</v>
      </c>
      <c r="J367" s="31" t="n">
        <v>23</v>
      </c>
      <c r="K367" s="31" t="n">
        <v>7</v>
      </c>
    </row>
    <row r="368" customFormat="false" ht="15" hidden="false" customHeight="false" outlineLevel="0" collapsed="false">
      <c r="A368" s="31" t="n">
        <v>1121168</v>
      </c>
      <c r="B368" s="31" t="n">
        <v>1178</v>
      </c>
      <c r="C368" s="31" t="n">
        <v>144545</v>
      </c>
      <c r="D368" s="31" t="s">
        <v>57</v>
      </c>
      <c r="E368" s="31" t="s">
        <v>64</v>
      </c>
      <c r="F368" s="31" t="n">
        <v>25</v>
      </c>
      <c r="G368" s="31" t="n">
        <v>50523</v>
      </c>
      <c r="H368" s="31" t="n">
        <v>6</v>
      </c>
      <c r="I368" s="32" t="n">
        <v>8.549999952</v>
      </c>
      <c r="J368" s="31" t="n">
        <v>1</v>
      </c>
      <c r="K368" s="31" t="n">
        <v>0</v>
      </c>
    </row>
    <row r="369" customFormat="false" ht="15" hidden="false" customHeight="false" outlineLevel="0" collapsed="false">
      <c r="A369" s="31" t="n">
        <v>1121172</v>
      </c>
      <c r="B369" s="31" t="n">
        <v>1178</v>
      </c>
      <c r="C369" s="31" t="n">
        <v>144547</v>
      </c>
      <c r="D369" s="31" t="s">
        <v>57</v>
      </c>
      <c r="E369" s="31" t="s">
        <v>64</v>
      </c>
      <c r="F369" s="31" t="n">
        <v>26</v>
      </c>
      <c r="G369" s="31" t="n">
        <v>87935</v>
      </c>
      <c r="H369" s="31" t="n">
        <v>9</v>
      </c>
      <c r="I369" s="32" t="n">
        <v>15.63000023</v>
      </c>
      <c r="J369" s="31" t="n">
        <v>1</v>
      </c>
      <c r="K369" s="31" t="n">
        <v>0</v>
      </c>
    </row>
    <row r="370" customFormat="false" ht="15" hidden="false" customHeight="false" outlineLevel="0" collapsed="false">
      <c r="A370" s="31" t="n">
        <v>1121173</v>
      </c>
      <c r="B370" s="31" t="n">
        <v>1178</v>
      </c>
      <c r="C370" s="31" t="n">
        <v>144547</v>
      </c>
      <c r="D370" s="31" t="s">
        <v>57</v>
      </c>
      <c r="E370" s="31" t="s">
        <v>64</v>
      </c>
      <c r="F370" s="31" t="n">
        <v>26</v>
      </c>
      <c r="G370" s="31" t="n">
        <v>278225</v>
      </c>
      <c r="H370" s="31" t="n">
        <v>33</v>
      </c>
      <c r="I370" s="32" t="n">
        <v>60.19999957</v>
      </c>
      <c r="J370" s="31" t="n">
        <v>3</v>
      </c>
      <c r="K370" s="31" t="n">
        <v>0</v>
      </c>
    </row>
    <row r="371" customFormat="false" ht="15" hidden="false" customHeight="false" outlineLevel="0" collapsed="false">
      <c r="A371" s="31" t="n">
        <v>1121175</v>
      </c>
      <c r="B371" s="31" t="n">
        <v>1178</v>
      </c>
      <c r="C371" s="31" t="n">
        <v>144547</v>
      </c>
      <c r="D371" s="31" t="s">
        <v>57</v>
      </c>
      <c r="E371" s="31" t="s">
        <v>64</v>
      </c>
      <c r="F371" s="31" t="n">
        <v>26</v>
      </c>
      <c r="G371" s="31" t="n">
        <v>209461</v>
      </c>
      <c r="H371" s="31" t="n">
        <v>20</v>
      </c>
      <c r="I371" s="32" t="n">
        <v>34.19000006</v>
      </c>
      <c r="J371" s="31" t="n">
        <v>1</v>
      </c>
      <c r="K371" s="31" t="n">
        <v>0</v>
      </c>
    </row>
    <row r="372" customFormat="false" ht="15" hidden="false" customHeight="false" outlineLevel="0" collapsed="false">
      <c r="A372" s="31" t="n">
        <v>1121177</v>
      </c>
      <c r="B372" s="31" t="n">
        <v>1178</v>
      </c>
      <c r="C372" s="31" t="n">
        <v>144547</v>
      </c>
      <c r="D372" s="31" t="s">
        <v>57</v>
      </c>
      <c r="E372" s="31" t="s">
        <v>64</v>
      </c>
      <c r="F372" s="31" t="n">
        <v>26</v>
      </c>
      <c r="G372" s="31" t="n">
        <v>26316</v>
      </c>
      <c r="H372" s="31" t="n">
        <v>2</v>
      </c>
      <c r="I372" s="32" t="n">
        <v>3.24000001</v>
      </c>
      <c r="J372" s="31" t="n">
        <v>3</v>
      </c>
      <c r="K372" s="31" t="n">
        <v>0</v>
      </c>
    </row>
    <row r="373" customFormat="false" ht="15" hidden="false" customHeight="false" outlineLevel="0" collapsed="false">
      <c r="A373" s="31" t="n">
        <v>1121181</v>
      </c>
      <c r="B373" s="31" t="n">
        <v>1178</v>
      </c>
      <c r="C373" s="31" t="n">
        <v>144549</v>
      </c>
      <c r="D373" s="31" t="s">
        <v>57</v>
      </c>
      <c r="E373" s="31" t="s">
        <v>64</v>
      </c>
      <c r="F373" s="31" t="n">
        <v>27</v>
      </c>
      <c r="G373" s="31" t="n">
        <v>41030</v>
      </c>
      <c r="H373" s="31" t="n">
        <v>3</v>
      </c>
      <c r="I373" s="32" t="n">
        <v>5.140000105</v>
      </c>
      <c r="J373" s="31" t="n">
        <v>2</v>
      </c>
      <c r="K373" s="31" t="n">
        <v>1</v>
      </c>
    </row>
    <row r="374" customFormat="false" ht="15" hidden="false" customHeight="false" outlineLevel="0" collapsed="false">
      <c r="A374" s="31" t="n">
        <v>1121182</v>
      </c>
      <c r="B374" s="31" t="n">
        <v>1178</v>
      </c>
      <c r="C374" s="31" t="n">
        <v>144549</v>
      </c>
      <c r="D374" s="31" t="s">
        <v>57</v>
      </c>
      <c r="E374" s="31" t="s">
        <v>64</v>
      </c>
      <c r="F374" s="31" t="n">
        <v>27</v>
      </c>
      <c r="G374" s="31" t="n">
        <v>876671</v>
      </c>
      <c r="H374" s="31" t="n">
        <v>120</v>
      </c>
      <c r="I374" s="32" t="n">
        <v>216.5599982</v>
      </c>
      <c r="J374" s="31" t="n">
        <v>22</v>
      </c>
      <c r="K374" s="31" t="n">
        <v>4</v>
      </c>
    </row>
    <row r="375" customFormat="false" ht="15" hidden="false" customHeight="false" outlineLevel="0" collapsed="false">
      <c r="A375" s="31" t="n">
        <v>1121183</v>
      </c>
      <c r="B375" s="31" t="n">
        <v>1178</v>
      </c>
      <c r="C375" s="31" t="n">
        <v>144549</v>
      </c>
      <c r="D375" s="31" t="s">
        <v>57</v>
      </c>
      <c r="E375" s="31" t="s">
        <v>64</v>
      </c>
      <c r="F375" s="31" t="n">
        <v>27</v>
      </c>
      <c r="G375" s="31" t="n">
        <v>399392</v>
      </c>
      <c r="H375" s="31" t="n">
        <v>53</v>
      </c>
      <c r="I375" s="32" t="n">
        <v>93.07000041</v>
      </c>
      <c r="J375" s="31" t="n">
        <v>5</v>
      </c>
      <c r="K375" s="31" t="n">
        <v>0</v>
      </c>
    </row>
    <row r="376" customFormat="false" ht="15" hidden="false" customHeight="false" outlineLevel="0" collapsed="false">
      <c r="A376" s="31" t="n">
        <v>1121184</v>
      </c>
      <c r="B376" s="31" t="n">
        <v>1178</v>
      </c>
      <c r="C376" s="31" t="n">
        <v>144549</v>
      </c>
      <c r="D376" s="31" t="s">
        <v>57</v>
      </c>
      <c r="E376" s="31" t="s">
        <v>64</v>
      </c>
      <c r="F376" s="31" t="n">
        <v>27</v>
      </c>
      <c r="G376" s="31" t="n">
        <v>283858</v>
      </c>
      <c r="H376" s="31" t="n">
        <v>30</v>
      </c>
      <c r="I376" s="32" t="n">
        <v>56.05999923</v>
      </c>
      <c r="J376" s="31" t="n">
        <v>1</v>
      </c>
      <c r="K376" s="31" t="n">
        <v>0</v>
      </c>
    </row>
    <row r="377" customFormat="false" ht="15" hidden="false" customHeight="false" outlineLevel="0" collapsed="false">
      <c r="A377" s="31" t="n">
        <v>1121185</v>
      </c>
      <c r="B377" s="31" t="n">
        <v>1178</v>
      </c>
      <c r="C377" s="31" t="n">
        <v>144549</v>
      </c>
      <c r="D377" s="31" t="s">
        <v>57</v>
      </c>
      <c r="E377" s="31" t="s">
        <v>64</v>
      </c>
      <c r="F377" s="31" t="n">
        <v>27</v>
      </c>
      <c r="G377" s="31" t="n">
        <v>260699</v>
      </c>
      <c r="H377" s="31" t="n">
        <v>31</v>
      </c>
      <c r="I377" s="32" t="n">
        <v>54.09999871</v>
      </c>
      <c r="J377" s="31" t="n">
        <v>5</v>
      </c>
      <c r="K377" s="31" t="n">
        <v>2</v>
      </c>
    </row>
    <row r="378" customFormat="false" ht="15" hidden="false" customHeight="false" outlineLevel="0" collapsed="false">
      <c r="A378" s="31" t="n">
        <v>1121193</v>
      </c>
      <c r="B378" s="31" t="n">
        <v>1178</v>
      </c>
      <c r="C378" s="31" t="n">
        <v>144552</v>
      </c>
      <c r="D378" s="31" t="s">
        <v>57</v>
      </c>
      <c r="E378" s="31" t="s">
        <v>64</v>
      </c>
      <c r="F378" s="31" t="n">
        <v>28</v>
      </c>
      <c r="G378" s="31" t="n">
        <v>57781</v>
      </c>
      <c r="H378" s="31" t="n">
        <v>5</v>
      </c>
      <c r="I378" s="32" t="n">
        <v>7.800000072</v>
      </c>
      <c r="J378" s="31" t="n">
        <v>2</v>
      </c>
      <c r="K378" s="31" t="n">
        <v>1</v>
      </c>
    </row>
    <row r="379" customFormat="false" ht="15" hidden="false" customHeight="false" outlineLevel="0" collapsed="false">
      <c r="A379" s="31" t="n">
        <v>1121195</v>
      </c>
      <c r="B379" s="31" t="n">
        <v>1178</v>
      </c>
      <c r="C379" s="31" t="n">
        <v>144552</v>
      </c>
      <c r="D379" s="31" t="s">
        <v>57</v>
      </c>
      <c r="E379" s="31" t="s">
        <v>64</v>
      </c>
      <c r="F379" s="31" t="n">
        <v>28</v>
      </c>
      <c r="G379" s="31" t="n">
        <v>38757</v>
      </c>
      <c r="H379" s="31" t="n">
        <v>3</v>
      </c>
      <c r="I379" s="32" t="n">
        <v>5.220000029</v>
      </c>
      <c r="J379" s="31" t="n">
        <v>1</v>
      </c>
      <c r="K379" s="31" t="n">
        <v>0</v>
      </c>
    </row>
    <row r="380" customFormat="false" ht="15" hidden="false" customHeight="false" outlineLevel="0" collapsed="false">
      <c r="A380" s="31" t="n">
        <v>1121196</v>
      </c>
      <c r="B380" s="31" t="n">
        <v>1178</v>
      </c>
      <c r="C380" s="31" t="n">
        <v>144552</v>
      </c>
      <c r="D380" s="31" t="s">
        <v>57</v>
      </c>
      <c r="E380" s="31" t="s">
        <v>64</v>
      </c>
      <c r="F380" s="31" t="n">
        <v>28</v>
      </c>
      <c r="G380" s="31" t="n">
        <v>1392288</v>
      </c>
      <c r="H380" s="31" t="n">
        <v>206</v>
      </c>
      <c r="I380" s="32" t="n">
        <v>358.5500029</v>
      </c>
      <c r="J380" s="31" t="n">
        <v>31</v>
      </c>
      <c r="K380" s="31" t="n">
        <v>7</v>
      </c>
    </row>
    <row r="381" customFormat="false" ht="15" hidden="false" customHeight="false" outlineLevel="0" collapsed="false">
      <c r="A381" s="31" t="n">
        <v>1121197</v>
      </c>
      <c r="B381" s="31" t="n">
        <v>1178</v>
      </c>
      <c r="C381" s="31" t="n">
        <v>144552</v>
      </c>
      <c r="D381" s="31" t="s">
        <v>57</v>
      </c>
      <c r="E381" s="31" t="s">
        <v>64</v>
      </c>
      <c r="F381" s="31" t="n">
        <v>28</v>
      </c>
      <c r="G381" s="31" t="n">
        <v>1109387</v>
      </c>
      <c r="H381" s="31" t="n">
        <v>159</v>
      </c>
      <c r="I381" s="32" t="n">
        <v>280.9899995</v>
      </c>
      <c r="J381" s="31" t="n">
        <v>13</v>
      </c>
      <c r="K381" s="31" t="n">
        <v>2</v>
      </c>
    </row>
    <row r="382" customFormat="false" ht="15" hidden="false" customHeight="false" outlineLevel="0" collapsed="false">
      <c r="A382" s="31" t="n">
        <v>1121202</v>
      </c>
      <c r="B382" s="31" t="n">
        <v>1178</v>
      </c>
      <c r="C382" s="31" t="n">
        <v>144554</v>
      </c>
      <c r="D382" s="31" t="s">
        <v>57</v>
      </c>
      <c r="E382" s="31" t="s">
        <v>64</v>
      </c>
      <c r="F382" s="31" t="n">
        <v>29</v>
      </c>
      <c r="G382" s="31" t="n">
        <v>581281</v>
      </c>
      <c r="H382" s="31" t="n">
        <v>65</v>
      </c>
      <c r="I382" s="32" t="n">
        <v>115.1200008</v>
      </c>
      <c r="J382" s="31" t="n">
        <v>10</v>
      </c>
      <c r="K382" s="31" t="n">
        <v>5</v>
      </c>
    </row>
    <row r="383" customFormat="false" ht="15" hidden="false" customHeight="false" outlineLevel="0" collapsed="false">
      <c r="A383" s="31" t="n">
        <v>1121203</v>
      </c>
      <c r="B383" s="31" t="n">
        <v>1178</v>
      </c>
      <c r="C383" s="31" t="n">
        <v>144554</v>
      </c>
      <c r="D383" s="31" t="s">
        <v>57</v>
      </c>
      <c r="E383" s="31" t="s">
        <v>64</v>
      </c>
      <c r="F383" s="31" t="n">
        <v>29</v>
      </c>
      <c r="G383" s="31" t="n">
        <v>1048861</v>
      </c>
      <c r="H383" s="31" t="n">
        <v>128</v>
      </c>
      <c r="I383" s="32" t="n">
        <v>219.770002</v>
      </c>
      <c r="J383" s="31" t="n">
        <v>22</v>
      </c>
      <c r="K383" s="31" t="n">
        <v>8</v>
      </c>
    </row>
    <row r="384" customFormat="false" ht="15" hidden="false" customHeight="false" outlineLevel="0" collapsed="false">
      <c r="A384" s="31" t="n">
        <v>1121205</v>
      </c>
      <c r="B384" s="31" t="n">
        <v>1178</v>
      </c>
      <c r="C384" s="31" t="n">
        <v>144554</v>
      </c>
      <c r="D384" s="31" t="s">
        <v>57</v>
      </c>
      <c r="E384" s="31" t="s">
        <v>64</v>
      </c>
      <c r="F384" s="31" t="n">
        <v>29</v>
      </c>
      <c r="G384" s="31" t="n">
        <v>297452</v>
      </c>
      <c r="H384" s="31" t="n">
        <v>30</v>
      </c>
      <c r="I384" s="32" t="n">
        <v>52.01999986</v>
      </c>
      <c r="J384" s="31" t="n">
        <v>4</v>
      </c>
      <c r="K384" s="31" t="n">
        <v>1</v>
      </c>
    </row>
    <row r="385" customFormat="false" ht="15" hidden="false" customHeight="false" outlineLevel="0" collapsed="false">
      <c r="A385" s="31" t="n">
        <v>1121206</v>
      </c>
      <c r="B385" s="31" t="n">
        <v>1178</v>
      </c>
      <c r="C385" s="31" t="n">
        <v>144554</v>
      </c>
      <c r="D385" s="31" t="s">
        <v>57</v>
      </c>
      <c r="E385" s="31" t="s">
        <v>64</v>
      </c>
      <c r="F385" s="31" t="n">
        <v>29</v>
      </c>
      <c r="G385" s="31" t="n">
        <v>227925</v>
      </c>
      <c r="H385" s="31" t="n">
        <v>22</v>
      </c>
      <c r="I385" s="32" t="n">
        <v>35.30999994</v>
      </c>
      <c r="J385" s="31" t="n">
        <v>22</v>
      </c>
      <c r="K385" s="31" t="n">
        <v>12</v>
      </c>
    </row>
    <row r="386" customFormat="false" ht="15" hidden="false" customHeight="false" outlineLevel="0" collapsed="false">
      <c r="A386" s="31" t="n">
        <v>1121207</v>
      </c>
      <c r="B386" s="31" t="n">
        <v>1178</v>
      </c>
      <c r="C386" s="31" t="n">
        <v>144554</v>
      </c>
      <c r="D386" s="31" t="s">
        <v>57</v>
      </c>
      <c r="E386" s="31" t="s">
        <v>64</v>
      </c>
      <c r="F386" s="31" t="n">
        <v>29</v>
      </c>
      <c r="G386" s="31" t="n">
        <v>374175</v>
      </c>
      <c r="H386" s="31" t="n">
        <v>38</v>
      </c>
      <c r="I386" s="32" t="n">
        <v>63.32000101</v>
      </c>
      <c r="J386" s="31" t="n">
        <v>8</v>
      </c>
      <c r="K386" s="31" t="n">
        <v>3</v>
      </c>
    </row>
    <row r="387" customFormat="false" ht="15" hidden="false" customHeight="false" outlineLevel="0" collapsed="false">
      <c r="A387" s="31" t="n">
        <v>1121211</v>
      </c>
      <c r="B387" s="31" t="n">
        <v>1178</v>
      </c>
      <c r="C387" s="31" t="n">
        <v>144556</v>
      </c>
      <c r="D387" s="31" t="s">
        <v>57</v>
      </c>
      <c r="E387" s="31" t="s">
        <v>64</v>
      </c>
      <c r="F387" s="31" t="n">
        <v>30</v>
      </c>
      <c r="G387" s="31" t="n">
        <v>223586</v>
      </c>
      <c r="H387" s="31" t="n">
        <v>32</v>
      </c>
      <c r="I387" s="32" t="n">
        <v>54.24000037</v>
      </c>
      <c r="J387" s="31" t="n">
        <v>1</v>
      </c>
      <c r="K387" s="31" t="n">
        <v>0</v>
      </c>
    </row>
    <row r="388" customFormat="false" ht="15" hidden="false" customHeight="false" outlineLevel="0" collapsed="false">
      <c r="A388" s="31" t="n">
        <v>1121213</v>
      </c>
      <c r="B388" s="31" t="n">
        <v>1178</v>
      </c>
      <c r="C388" s="31" t="n">
        <v>144556</v>
      </c>
      <c r="D388" s="31" t="s">
        <v>57</v>
      </c>
      <c r="E388" s="31" t="s">
        <v>64</v>
      </c>
      <c r="F388" s="31" t="n">
        <v>30</v>
      </c>
      <c r="G388" s="31" t="n">
        <v>283170</v>
      </c>
      <c r="H388" s="31" t="n">
        <v>39</v>
      </c>
      <c r="I388" s="32" t="n">
        <v>65.22999996</v>
      </c>
      <c r="J388" s="31" t="n">
        <v>2</v>
      </c>
      <c r="K388" s="31" t="n">
        <v>1</v>
      </c>
    </row>
    <row r="389" customFormat="false" ht="15" hidden="false" customHeight="false" outlineLevel="0" collapsed="false">
      <c r="A389" s="31" t="n">
        <v>1121215</v>
      </c>
      <c r="B389" s="31" t="n">
        <v>1178</v>
      </c>
      <c r="C389" s="31" t="n">
        <v>144556</v>
      </c>
      <c r="D389" s="31" t="s">
        <v>57</v>
      </c>
      <c r="E389" s="31" t="s">
        <v>64</v>
      </c>
      <c r="F389" s="31" t="n">
        <v>30</v>
      </c>
      <c r="G389" s="31" t="n">
        <v>41636</v>
      </c>
      <c r="H389" s="31" t="n">
        <v>3</v>
      </c>
      <c r="I389" s="32" t="n">
        <v>4.210000038</v>
      </c>
      <c r="J389" s="31" t="n">
        <v>1</v>
      </c>
      <c r="K389" s="31" t="n">
        <v>0</v>
      </c>
    </row>
    <row r="390" customFormat="false" ht="15" hidden="false" customHeight="false" outlineLevel="0" collapsed="false">
      <c r="A390" s="31" t="n">
        <v>1121216</v>
      </c>
      <c r="B390" s="31" t="n">
        <v>1178</v>
      </c>
      <c r="C390" s="31" t="n">
        <v>144556</v>
      </c>
      <c r="D390" s="31" t="s">
        <v>57</v>
      </c>
      <c r="E390" s="31" t="s">
        <v>64</v>
      </c>
      <c r="F390" s="31" t="n">
        <v>30</v>
      </c>
      <c r="G390" s="31" t="n">
        <v>198658</v>
      </c>
      <c r="H390" s="31" t="n">
        <v>30</v>
      </c>
      <c r="I390" s="32" t="n">
        <v>48.60999978</v>
      </c>
      <c r="J390" s="31" t="n">
        <v>8</v>
      </c>
      <c r="K390" s="31" t="n">
        <v>1</v>
      </c>
    </row>
    <row r="391" customFormat="false" ht="15" hidden="false" customHeight="false" outlineLevel="0" collapsed="false">
      <c r="A391" s="31" t="n">
        <v>1121220</v>
      </c>
      <c r="B391" s="31" t="n">
        <v>1178</v>
      </c>
      <c r="C391" s="31" t="n">
        <v>144558</v>
      </c>
      <c r="D391" s="31" t="s">
        <v>57</v>
      </c>
      <c r="E391" s="31" t="s">
        <v>64</v>
      </c>
      <c r="F391" s="31" t="n">
        <v>31</v>
      </c>
      <c r="G391" s="31" t="n">
        <v>100596</v>
      </c>
      <c r="H391" s="31" t="n">
        <v>10</v>
      </c>
      <c r="I391" s="32" t="n">
        <v>13.91999972</v>
      </c>
      <c r="J391" s="31" t="n">
        <v>4</v>
      </c>
      <c r="K391" s="31" t="n">
        <v>2</v>
      </c>
    </row>
    <row r="392" customFormat="false" ht="15" hidden="false" customHeight="false" outlineLevel="0" collapsed="false">
      <c r="A392" s="31" t="n">
        <v>1121223</v>
      </c>
      <c r="B392" s="31" t="n">
        <v>1178</v>
      </c>
      <c r="C392" s="31" t="n">
        <v>144558</v>
      </c>
      <c r="D392" s="31" t="s">
        <v>57</v>
      </c>
      <c r="E392" s="31" t="s">
        <v>64</v>
      </c>
      <c r="F392" s="31" t="n">
        <v>31</v>
      </c>
      <c r="G392" s="31" t="n">
        <v>64020</v>
      </c>
      <c r="H392" s="31" t="n">
        <v>5</v>
      </c>
      <c r="I392" s="32" t="n">
        <v>11.0599997</v>
      </c>
      <c r="J392" s="31" t="n">
        <v>1</v>
      </c>
      <c r="K392" s="31" t="n">
        <v>0</v>
      </c>
    </row>
    <row r="393" customFormat="false" ht="15" hidden="false" customHeight="false" outlineLevel="0" collapsed="false">
      <c r="A393" s="31" t="n">
        <v>1121229</v>
      </c>
      <c r="B393" s="31" t="n">
        <v>1178</v>
      </c>
      <c r="C393" s="31" t="n">
        <v>144561</v>
      </c>
      <c r="D393" s="31" t="s">
        <v>57</v>
      </c>
      <c r="E393" s="31" t="s">
        <v>64</v>
      </c>
      <c r="F393" s="31" t="n">
        <v>32</v>
      </c>
      <c r="G393" s="31" t="n">
        <v>404866</v>
      </c>
      <c r="H393" s="31" t="n">
        <v>43</v>
      </c>
      <c r="I393" s="32" t="n">
        <v>87.42000079</v>
      </c>
      <c r="J393" s="31" t="n">
        <v>4</v>
      </c>
      <c r="K393" s="31" t="n">
        <v>0</v>
      </c>
    </row>
    <row r="394" customFormat="false" ht="15" hidden="false" customHeight="false" outlineLevel="0" collapsed="false">
      <c r="A394" s="31" t="n">
        <v>1121231</v>
      </c>
      <c r="B394" s="31" t="n">
        <v>1178</v>
      </c>
      <c r="C394" s="31" t="n">
        <v>144561</v>
      </c>
      <c r="D394" s="31" t="s">
        <v>57</v>
      </c>
      <c r="E394" s="31" t="s">
        <v>64</v>
      </c>
      <c r="F394" s="31" t="n">
        <v>32</v>
      </c>
      <c r="G394" s="31" t="n">
        <v>22256</v>
      </c>
      <c r="H394" s="31" t="n">
        <v>1</v>
      </c>
      <c r="I394" s="32" t="n">
        <v>1.659999967</v>
      </c>
      <c r="J394" s="31" t="n">
        <v>1</v>
      </c>
      <c r="K394" s="31" t="n">
        <v>1</v>
      </c>
    </row>
    <row r="395" customFormat="false" ht="15" hidden="false" customHeight="false" outlineLevel="0" collapsed="false">
      <c r="A395" s="31" t="n">
        <v>1121233</v>
      </c>
      <c r="B395" s="31" t="n">
        <v>1178</v>
      </c>
      <c r="C395" s="31" t="n">
        <v>144561</v>
      </c>
      <c r="D395" s="31" t="s">
        <v>57</v>
      </c>
      <c r="E395" s="31" t="s">
        <v>64</v>
      </c>
      <c r="F395" s="31" t="n">
        <v>32</v>
      </c>
      <c r="G395" s="31" t="n">
        <v>57690</v>
      </c>
      <c r="H395" s="31" t="n">
        <v>4</v>
      </c>
      <c r="I395" s="32" t="n">
        <v>6.74000001</v>
      </c>
      <c r="J395" s="31" t="n">
        <v>1</v>
      </c>
      <c r="K395" s="31" t="n">
        <v>0</v>
      </c>
    </row>
    <row r="396" customFormat="false" ht="15" hidden="false" customHeight="false" outlineLevel="0" collapsed="false">
      <c r="A396" s="31" t="n">
        <v>1121241</v>
      </c>
      <c r="B396" s="31" t="n">
        <v>1178</v>
      </c>
      <c r="C396" s="31" t="n">
        <v>144562</v>
      </c>
      <c r="D396" s="31" t="s">
        <v>57</v>
      </c>
      <c r="E396" s="31" t="s">
        <v>64</v>
      </c>
      <c r="F396" s="31" t="n">
        <v>36</v>
      </c>
      <c r="G396" s="31" t="n">
        <v>24952</v>
      </c>
      <c r="H396" s="31" t="n">
        <v>5</v>
      </c>
      <c r="I396" s="32" t="n">
        <v>8.220000267</v>
      </c>
      <c r="J396" s="31" t="n">
        <v>3</v>
      </c>
      <c r="K396" s="31" t="n">
        <v>2</v>
      </c>
    </row>
    <row r="397" customFormat="false" ht="15" hidden="false" customHeight="false" outlineLevel="0" collapsed="false">
      <c r="A397" s="31" t="n">
        <v>1121242</v>
      </c>
      <c r="B397" s="31" t="n">
        <v>1178</v>
      </c>
      <c r="C397" s="31" t="n">
        <v>144562</v>
      </c>
      <c r="D397" s="31" t="s">
        <v>57</v>
      </c>
      <c r="E397" s="31" t="s">
        <v>64</v>
      </c>
      <c r="F397" s="31" t="n">
        <v>36</v>
      </c>
      <c r="G397" s="31" t="n">
        <v>38900</v>
      </c>
      <c r="H397" s="31" t="n">
        <v>3</v>
      </c>
      <c r="I397" s="32" t="n">
        <v>5.580000043</v>
      </c>
      <c r="J397" s="31" t="n">
        <v>1</v>
      </c>
      <c r="K397" s="31" t="n">
        <v>0</v>
      </c>
    </row>
    <row r="398" customFormat="false" ht="15" hidden="false" customHeight="false" outlineLevel="0" collapsed="false">
      <c r="A398" s="31" t="n">
        <v>1121243</v>
      </c>
      <c r="B398" s="31" t="n">
        <v>1178</v>
      </c>
      <c r="C398" s="31" t="n">
        <v>144562</v>
      </c>
      <c r="D398" s="31" t="s">
        <v>57</v>
      </c>
      <c r="E398" s="31" t="s">
        <v>64</v>
      </c>
      <c r="F398" s="31" t="n">
        <v>36</v>
      </c>
      <c r="G398" s="31" t="n">
        <v>53520</v>
      </c>
      <c r="H398" s="31" t="n">
        <v>6</v>
      </c>
      <c r="I398" s="32" t="n">
        <v>9.2299999</v>
      </c>
      <c r="J398" s="31" t="n">
        <v>1</v>
      </c>
      <c r="K398" s="31" t="n">
        <v>1</v>
      </c>
    </row>
    <row r="399" customFormat="false" ht="15" hidden="false" customHeight="false" outlineLevel="0" collapsed="false">
      <c r="A399" s="31" t="n">
        <v>1121244</v>
      </c>
      <c r="B399" s="31" t="n">
        <v>1178</v>
      </c>
      <c r="C399" s="31" t="n">
        <v>144562</v>
      </c>
      <c r="D399" s="31" t="s">
        <v>57</v>
      </c>
      <c r="E399" s="31" t="s">
        <v>64</v>
      </c>
      <c r="F399" s="31" t="n">
        <v>36</v>
      </c>
      <c r="G399" s="31" t="n">
        <v>181683</v>
      </c>
      <c r="H399" s="31" t="n">
        <v>20</v>
      </c>
      <c r="I399" s="32" t="n">
        <v>34.22999972</v>
      </c>
      <c r="J399" s="31" t="n">
        <v>2</v>
      </c>
      <c r="K399" s="31" t="n">
        <v>1</v>
      </c>
    </row>
    <row r="400" customFormat="false" ht="15" hidden="false" customHeight="false" outlineLevel="0" collapsed="false">
      <c r="A400" s="31" t="n">
        <v>1121245</v>
      </c>
      <c r="B400" s="31" t="n">
        <v>1178</v>
      </c>
      <c r="C400" s="31" t="n">
        <v>144562</v>
      </c>
      <c r="D400" s="31" t="s">
        <v>57</v>
      </c>
      <c r="E400" s="31" t="s">
        <v>64</v>
      </c>
      <c r="F400" s="31" t="n">
        <v>36</v>
      </c>
      <c r="G400" s="31" t="n">
        <v>29185</v>
      </c>
      <c r="H400" s="31" t="n">
        <v>2</v>
      </c>
      <c r="I400" s="32" t="n">
        <v>3.149999976</v>
      </c>
      <c r="J400" s="31" t="n">
        <v>1</v>
      </c>
      <c r="K400" s="31" t="n">
        <v>0</v>
      </c>
    </row>
    <row r="401" customFormat="false" ht="15" hidden="false" customHeight="false" outlineLevel="0" collapsed="false">
      <c r="A401" s="31" t="n">
        <v>1121246</v>
      </c>
      <c r="B401" s="31" t="n">
        <v>1178</v>
      </c>
      <c r="C401" s="31" t="n">
        <v>144562</v>
      </c>
      <c r="D401" s="31" t="s">
        <v>57</v>
      </c>
      <c r="E401" s="31" t="s">
        <v>64</v>
      </c>
      <c r="F401" s="31" t="n">
        <v>36</v>
      </c>
      <c r="G401" s="31" t="n">
        <v>105047</v>
      </c>
      <c r="H401" s="31" t="n">
        <v>13</v>
      </c>
      <c r="I401" s="32" t="n">
        <v>20.2099994</v>
      </c>
      <c r="J401" s="31" t="n">
        <v>3</v>
      </c>
      <c r="K401" s="31" t="n">
        <v>1</v>
      </c>
    </row>
    <row r="402" customFormat="false" ht="15" hidden="false" customHeight="false" outlineLevel="0" collapsed="false">
      <c r="A402" s="31" t="n">
        <v>1121250</v>
      </c>
      <c r="B402" s="31" t="n">
        <v>1178</v>
      </c>
      <c r="C402" s="31" t="n">
        <v>144565</v>
      </c>
      <c r="D402" s="31" t="s">
        <v>57</v>
      </c>
      <c r="E402" s="31" t="s">
        <v>64</v>
      </c>
      <c r="F402" s="31" t="n">
        <v>63</v>
      </c>
      <c r="G402" s="31" t="n">
        <v>287976</v>
      </c>
      <c r="H402" s="31" t="n">
        <v>31</v>
      </c>
      <c r="I402" s="32" t="n">
        <v>59.43999982</v>
      </c>
      <c r="J402" s="31" t="n">
        <v>3</v>
      </c>
      <c r="K402" s="31" t="n">
        <v>2</v>
      </c>
    </row>
    <row r="403" customFormat="false" ht="15" hidden="false" customHeight="false" outlineLevel="0" collapsed="false">
      <c r="A403" s="31" t="n">
        <v>1121251</v>
      </c>
      <c r="B403" s="31" t="n">
        <v>1178</v>
      </c>
      <c r="C403" s="31" t="n">
        <v>144565</v>
      </c>
      <c r="D403" s="31" t="s">
        <v>57</v>
      </c>
      <c r="E403" s="31" t="s">
        <v>64</v>
      </c>
      <c r="F403" s="31" t="n">
        <v>63</v>
      </c>
      <c r="G403" s="31" t="n">
        <v>212175</v>
      </c>
      <c r="H403" s="31" t="n">
        <v>22</v>
      </c>
      <c r="I403" s="32" t="n">
        <v>38.58999968</v>
      </c>
      <c r="J403" s="31" t="n">
        <v>2</v>
      </c>
      <c r="K403" s="31" t="n">
        <v>1</v>
      </c>
    </row>
    <row r="404" customFormat="false" ht="15" hidden="false" customHeight="false" outlineLevel="0" collapsed="false">
      <c r="A404" s="31" t="n">
        <v>1121254</v>
      </c>
      <c r="B404" s="31" t="n">
        <v>1178</v>
      </c>
      <c r="C404" s="31" t="n">
        <v>144565</v>
      </c>
      <c r="D404" s="31" t="s">
        <v>57</v>
      </c>
      <c r="E404" s="31" t="s">
        <v>64</v>
      </c>
      <c r="F404" s="31" t="n">
        <v>63</v>
      </c>
      <c r="G404" s="31" t="n">
        <v>124005</v>
      </c>
      <c r="H404" s="31" t="n">
        <v>11</v>
      </c>
      <c r="I404" s="32" t="n">
        <v>21.84999979</v>
      </c>
      <c r="J404" s="31" t="n">
        <v>4</v>
      </c>
      <c r="K404" s="31" t="n">
        <v>1</v>
      </c>
    </row>
    <row r="405" customFormat="false" ht="15" hidden="false" customHeight="false" outlineLevel="0" collapsed="false">
      <c r="A405" s="31" t="n">
        <v>1121255</v>
      </c>
      <c r="B405" s="31" t="n">
        <v>1178</v>
      </c>
      <c r="C405" s="31" t="n">
        <v>144565</v>
      </c>
      <c r="D405" s="31" t="s">
        <v>57</v>
      </c>
      <c r="E405" s="31" t="s">
        <v>64</v>
      </c>
      <c r="F405" s="31" t="n">
        <v>63</v>
      </c>
      <c r="G405" s="31" t="n">
        <v>20423</v>
      </c>
      <c r="H405" s="31" t="n">
        <v>1</v>
      </c>
      <c r="I405" s="32" t="n">
        <v>1.960000038</v>
      </c>
      <c r="J405" s="31" t="n">
        <v>1</v>
      </c>
      <c r="K405" s="31" t="n">
        <v>0</v>
      </c>
    </row>
    <row r="406" customFormat="false" ht="15" hidden="false" customHeight="false" outlineLevel="0" collapsed="false">
      <c r="A406" s="31" t="n">
        <v>1121261</v>
      </c>
      <c r="B406" s="31" t="n">
        <v>1178</v>
      </c>
      <c r="C406" s="31" t="n">
        <v>144567</v>
      </c>
      <c r="D406" s="31" t="s">
        <v>57</v>
      </c>
      <c r="E406" s="31" t="s">
        <v>64</v>
      </c>
      <c r="F406" s="31" t="n">
        <v>64</v>
      </c>
      <c r="G406" s="31" t="n">
        <v>103001</v>
      </c>
      <c r="H406" s="31" t="n">
        <v>14</v>
      </c>
      <c r="I406" s="32" t="n">
        <v>22.32000005</v>
      </c>
      <c r="J406" s="31" t="n">
        <v>1</v>
      </c>
      <c r="K406" s="31" t="n">
        <v>0</v>
      </c>
    </row>
    <row r="407" customFormat="false" ht="15" hidden="false" customHeight="false" outlineLevel="0" collapsed="false">
      <c r="A407" s="31" t="n">
        <v>1121262</v>
      </c>
      <c r="B407" s="31" t="n">
        <v>1178</v>
      </c>
      <c r="C407" s="31" t="n">
        <v>144567</v>
      </c>
      <c r="D407" s="31" t="s">
        <v>57</v>
      </c>
      <c r="E407" s="31" t="s">
        <v>64</v>
      </c>
      <c r="F407" s="31" t="n">
        <v>64</v>
      </c>
      <c r="G407" s="31" t="n">
        <v>447420</v>
      </c>
      <c r="H407" s="31" t="n">
        <v>66</v>
      </c>
      <c r="I407" s="32" t="n">
        <v>110.2399991</v>
      </c>
      <c r="J407" s="31" t="n">
        <v>7</v>
      </c>
      <c r="K407" s="31" t="n">
        <v>2</v>
      </c>
    </row>
    <row r="408" customFormat="false" ht="15" hidden="false" customHeight="false" outlineLevel="0" collapsed="false">
      <c r="A408" s="31" t="n">
        <v>1121263</v>
      </c>
      <c r="B408" s="31" t="n">
        <v>1178</v>
      </c>
      <c r="C408" s="31" t="n">
        <v>144567</v>
      </c>
      <c r="D408" s="31" t="s">
        <v>57</v>
      </c>
      <c r="E408" s="31" t="s">
        <v>64</v>
      </c>
      <c r="F408" s="31" t="n">
        <v>64</v>
      </c>
      <c r="G408" s="31" t="n">
        <v>156101</v>
      </c>
      <c r="H408" s="31" t="n">
        <v>19</v>
      </c>
      <c r="I408" s="32" t="n">
        <v>29.75000048</v>
      </c>
      <c r="J408" s="31" t="n">
        <v>2</v>
      </c>
      <c r="K408" s="31" t="n">
        <v>2</v>
      </c>
    </row>
    <row r="409" customFormat="false" ht="15" hidden="false" customHeight="false" outlineLevel="0" collapsed="false">
      <c r="A409" s="31" t="n">
        <v>1121264</v>
      </c>
      <c r="B409" s="31" t="n">
        <v>1178</v>
      </c>
      <c r="C409" s="31" t="n">
        <v>144567</v>
      </c>
      <c r="D409" s="31" t="s">
        <v>57</v>
      </c>
      <c r="E409" s="31" t="s">
        <v>64</v>
      </c>
      <c r="F409" s="31" t="n">
        <v>64</v>
      </c>
      <c r="G409" s="31" t="n">
        <v>93015</v>
      </c>
      <c r="H409" s="31" t="n">
        <v>12</v>
      </c>
      <c r="I409" s="32" t="n">
        <v>18.47000015</v>
      </c>
      <c r="J409" s="31" t="n">
        <v>1</v>
      </c>
      <c r="K409" s="31" t="n">
        <v>0</v>
      </c>
    </row>
    <row r="410" customFormat="false" ht="15" hidden="false" customHeight="false" outlineLevel="0" collapsed="false">
      <c r="A410" s="31" t="n">
        <v>1121265</v>
      </c>
      <c r="B410" s="31" t="n">
        <v>1178</v>
      </c>
      <c r="C410" s="31" t="n">
        <v>144568</v>
      </c>
      <c r="D410" s="31" t="s">
        <v>57</v>
      </c>
      <c r="E410" s="31" t="s">
        <v>64</v>
      </c>
      <c r="F410" s="31" t="n">
        <v>65</v>
      </c>
      <c r="G410" s="31" t="n">
        <v>145398</v>
      </c>
      <c r="H410" s="31" t="n">
        <v>23</v>
      </c>
      <c r="I410" s="32" t="n">
        <v>36.24000025</v>
      </c>
      <c r="J410" s="31" t="n">
        <v>1</v>
      </c>
      <c r="K410" s="31" t="n">
        <v>0</v>
      </c>
    </row>
    <row r="411" customFormat="false" ht="15" hidden="false" customHeight="false" outlineLevel="0" collapsed="false">
      <c r="A411" s="31" t="n">
        <v>1121269</v>
      </c>
      <c r="B411" s="31" t="n">
        <v>1178</v>
      </c>
      <c r="C411" s="31" t="n">
        <v>144568</v>
      </c>
      <c r="D411" s="31" t="s">
        <v>57</v>
      </c>
      <c r="E411" s="31" t="s">
        <v>64</v>
      </c>
      <c r="F411" s="31" t="n">
        <v>65</v>
      </c>
      <c r="G411" s="31" t="n">
        <v>296413</v>
      </c>
      <c r="H411" s="31" t="n">
        <v>50</v>
      </c>
      <c r="I411" s="32" t="n">
        <v>76.43999958</v>
      </c>
      <c r="J411" s="31" t="n">
        <v>3</v>
      </c>
      <c r="K411" s="31" t="n">
        <v>1</v>
      </c>
    </row>
    <row r="412" customFormat="false" ht="15" hidden="false" customHeight="false" outlineLevel="0" collapsed="false">
      <c r="A412" s="31" t="n">
        <v>1121274</v>
      </c>
      <c r="B412" s="31" t="n">
        <v>1178</v>
      </c>
      <c r="C412" s="31" t="n">
        <v>144569</v>
      </c>
      <c r="D412" s="31" t="s">
        <v>57</v>
      </c>
      <c r="E412" s="31" t="s">
        <v>64</v>
      </c>
      <c r="F412" s="31" t="n">
        <v>2</v>
      </c>
      <c r="G412" s="31" t="n">
        <v>63785</v>
      </c>
      <c r="H412" s="31" t="n">
        <v>7</v>
      </c>
      <c r="I412" s="32" t="n">
        <v>11.80000019</v>
      </c>
      <c r="J412" s="31" t="n">
        <v>6</v>
      </c>
      <c r="K412" s="31" t="n">
        <v>2</v>
      </c>
    </row>
    <row r="413" customFormat="false" ht="15" hidden="false" customHeight="false" outlineLevel="0" collapsed="false">
      <c r="A413" s="31" t="n">
        <v>1121275</v>
      </c>
      <c r="B413" s="31" t="n">
        <v>1178</v>
      </c>
      <c r="C413" s="31" t="n">
        <v>144569</v>
      </c>
      <c r="D413" s="31" t="s">
        <v>57</v>
      </c>
      <c r="E413" s="31" t="s">
        <v>64</v>
      </c>
      <c r="F413" s="31" t="n">
        <v>2</v>
      </c>
      <c r="G413" s="31" t="n">
        <v>118522</v>
      </c>
      <c r="H413" s="31" t="n">
        <v>14</v>
      </c>
      <c r="I413" s="32" t="n">
        <v>26.81999981</v>
      </c>
      <c r="J413" s="31" t="n">
        <v>2</v>
      </c>
      <c r="K413" s="31" t="n">
        <v>1</v>
      </c>
    </row>
    <row r="414" customFormat="false" ht="15" hidden="false" customHeight="false" outlineLevel="0" collapsed="false">
      <c r="A414" s="31" t="n">
        <v>1121276</v>
      </c>
      <c r="B414" s="31" t="n">
        <v>1178</v>
      </c>
      <c r="C414" s="31" t="n">
        <v>144569</v>
      </c>
      <c r="D414" s="31" t="s">
        <v>57</v>
      </c>
      <c r="E414" s="31" t="s">
        <v>64</v>
      </c>
      <c r="F414" s="31" t="n">
        <v>2</v>
      </c>
      <c r="G414" s="31" t="n">
        <v>240123</v>
      </c>
      <c r="H414" s="31" t="n">
        <v>38</v>
      </c>
      <c r="I414" s="32" t="n">
        <v>65.67000115</v>
      </c>
      <c r="J414" s="31" t="n">
        <v>5</v>
      </c>
      <c r="K414" s="31" t="n">
        <v>4</v>
      </c>
    </row>
    <row r="415" customFormat="false" ht="15" hidden="false" customHeight="false" outlineLevel="0" collapsed="false">
      <c r="A415" s="31" t="n">
        <v>1121277</v>
      </c>
      <c r="B415" s="31" t="n">
        <v>1178</v>
      </c>
      <c r="C415" s="31" t="n">
        <v>144570</v>
      </c>
      <c r="D415" s="31" t="s">
        <v>57</v>
      </c>
      <c r="E415" s="31" t="s">
        <v>64</v>
      </c>
      <c r="F415" s="31" t="n">
        <v>7</v>
      </c>
      <c r="G415" s="31" t="n">
        <v>169108</v>
      </c>
      <c r="H415" s="31" t="n">
        <v>20</v>
      </c>
      <c r="I415" s="32" t="n">
        <v>32.24000025</v>
      </c>
      <c r="J415" s="31" t="n">
        <v>2</v>
      </c>
      <c r="K415" s="31" t="n">
        <v>1</v>
      </c>
    </row>
    <row r="416" customFormat="false" ht="15" hidden="false" customHeight="false" outlineLevel="0" collapsed="false">
      <c r="A416" s="31" t="n">
        <v>1121278</v>
      </c>
      <c r="B416" s="31" t="n">
        <v>1178</v>
      </c>
      <c r="C416" s="31" t="n">
        <v>144570</v>
      </c>
      <c r="D416" s="31" t="s">
        <v>57</v>
      </c>
      <c r="E416" s="31" t="s">
        <v>64</v>
      </c>
      <c r="F416" s="31" t="n">
        <v>7</v>
      </c>
      <c r="G416" s="31" t="n">
        <v>1044442</v>
      </c>
      <c r="H416" s="31" t="n">
        <v>142</v>
      </c>
      <c r="I416" s="32" t="n">
        <v>245.5999999</v>
      </c>
      <c r="J416" s="31" t="n">
        <v>22</v>
      </c>
      <c r="K416" s="31" t="n">
        <v>8</v>
      </c>
    </row>
    <row r="417" customFormat="false" ht="15" hidden="false" customHeight="false" outlineLevel="0" collapsed="false">
      <c r="A417" s="31" t="n">
        <v>1121279</v>
      </c>
      <c r="B417" s="31" t="n">
        <v>1178</v>
      </c>
      <c r="C417" s="31" t="n">
        <v>144570</v>
      </c>
      <c r="D417" s="31" t="s">
        <v>57</v>
      </c>
      <c r="E417" s="31" t="s">
        <v>64</v>
      </c>
      <c r="F417" s="31" t="n">
        <v>7</v>
      </c>
      <c r="G417" s="31" t="n">
        <v>93891</v>
      </c>
      <c r="H417" s="31" t="n">
        <v>11</v>
      </c>
      <c r="I417" s="32" t="n">
        <v>17.6400001</v>
      </c>
      <c r="J417" s="31" t="n">
        <v>5</v>
      </c>
      <c r="K417" s="31" t="n">
        <v>3</v>
      </c>
    </row>
    <row r="418" customFormat="false" ht="15" hidden="false" customHeight="false" outlineLevel="0" collapsed="false">
      <c r="A418" s="31" t="n">
        <v>1121282</v>
      </c>
      <c r="B418" s="31" t="n">
        <v>1178</v>
      </c>
      <c r="C418" s="31" t="n">
        <v>144570</v>
      </c>
      <c r="D418" s="31" t="s">
        <v>57</v>
      </c>
      <c r="E418" s="31" t="s">
        <v>64</v>
      </c>
      <c r="F418" s="31" t="n">
        <v>7</v>
      </c>
      <c r="G418" s="31" t="n">
        <v>185823</v>
      </c>
      <c r="H418" s="31" t="n">
        <v>25</v>
      </c>
      <c r="I418" s="32" t="n">
        <v>38.54999936</v>
      </c>
      <c r="J418" s="31" t="n">
        <v>4</v>
      </c>
      <c r="K418" s="31" t="n">
        <v>1</v>
      </c>
    </row>
    <row r="419" customFormat="false" ht="15" hidden="false" customHeight="false" outlineLevel="0" collapsed="false">
      <c r="A419" s="31" t="n">
        <v>1121284</v>
      </c>
      <c r="B419" s="31" t="n">
        <v>1178</v>
      </c>
      <c r="C419" s="31" t="n">
        <v>144571</v>
      </c>
      <c r="D419" s="31" t="s">
        <v>57</v>
      </c>
      <c r="E419" s="31" t="s">
        <v>64</v>
      </c>
      <c r="F419" s="31" t="n">
        <v>66</v>
      </c>
      <c r="G419" s="31" t="n">
        <v>175631</v>
      </c>
      <c r="H419" s="31" t="n">
        <v>23</v>
      </c>
      <c r="I419" s="32" t="n">
        <v>40.75999951</v>
      </c>
      <c r="J419" s="31" t="n">
        <v>1</v>
      </c>
      <c r="K419" s="31" t="n">
        <v>0</v>
      </c>
    </row>
    <row r="420" customFormat="false" ht="15" hidden="false" customHeight="false" outlineLevel="0" collapsed="false">
      <c r="A420" s="31" t="n">
        <v>1121285</v>
      </c>
      <c r="B420" s="31" t="n">
        <v>1178</v>
      </c>
      <c r="C420" s="31" t="n">
        <v>144571</v>
      </c>
      <c r="D420" s="31" t="s">
        <v>57</v>
      </c>
      <c r="E420" s="31" t="s">
        <v>64</v>
      </c>
      <c r="F420" s="31" t="n">
        <v>66</v>
      </c>
      <c r="G420" s="31" t="n">
        <v>37187</v>
      </c>
      <c r="H420" s="31" t="n">
        <v>4</v>
      </c>
      <c r="I420" s="32" t="n">
        <v>6.370000005</v>
      </c>
      <c r="J420" s="31" t="n">
        <v>1</v>
      </c>
      <c r="K420" s="31" t="n">
        <v>0</v>
      </c>
    </row>
    <row r="421" customFormat="false" ht="15" hidden="false" customHeight="false" outlineLevel="0" collapsed="false">
      <c r="A421" s="31" t="n">
        <v>1121287</v>
      </c>
      <c r="B421" s="31" t="n">
        <v>1178</v>
      </c>
      <c r="C421" s="31" t="n">
        <v>144571</v>
      </c>
      <c r="D421" s="31" t="s">
        <v>57</v>
      </c>
      <c r="E421" s="31" t="s">
        <v>64</v>
      </c>
      <c r="F421" s="31" t="n">
        <v>66</v>
      </c>
      <c r="G421" s="31" t="n">
        <v>344618</v>
      </c>
      <c r="H421" s="31" t="n">
        <v>51</v>
      </c>
      <c r="I421" s="32" t="n">
        <v>89.76000047</v>
      </c>
      <c r="J421" s="31" t="n">
        <v>3</v>
      </c>
      <c r="K421" s="31" t="n">
        <v>1</v>
      </c>
    </row>
    <row r="422" customFormat="false" ht="15" hidden="false" customHeight="false" outlineLevel="0" collapsed="false">
      <c r="A422" s="31" t="n">
        <v>1121289</v>
      </c>
      <c r="B422" s="31" t="n">
        <v>1178</v>
      </c>
      <c r="C422" s="31" t="n">
        <v>144572</v>
      </c>
      <c r="D422" s="31" t="s">
        <v>58</v>
      </c>
      <c r="E422" s="31" t="s">
        <v>64</v>
      </c>
      <c r="F422" s="31" t="n">
        <v>10</v>
      </c>
      <c r="G422" s="31" t="n">
        <v>98066</v>
      </c>
      <c r="H422" s="31" t="n">
        <v>9</v>
      </c>
      <c r="I422" s="32" t="n">
        <v>16.1500001</v>
      </c>
      <c r="J422" s="31" t="n">
        <v>1</v>
      </c>
      <c r="K422" s="31" t="n">
        <v>0</v>
      </c>
    </row>
    <row r="423" customFormat="false" ht="15" hidden="false" customHeight="false" outlineLevel="0" collapsed="false">
      <c r="A423" s="31" t="n">
        <v>1121290</v>
      </c>
      <c r="B423" s="31" t="n">
        <v>1178</v>
      </c>
      <c r="C423" s="31" t="n">
        <v>144572</v>
      </c>
      <c r="D423" s="31" t="s">
        <v>58</v>
      </c>
      <c r="E423" s="31" t="s">
        <v>64</v>
      </c>
      <c r="F423" s="31" t="n">
        <v>10</v>
      </c>
      <c r="G423" s="31" t="n">
        <v>770749</v>
      </c>
      <c r="H423" s="31" t="n">
        <v>100</v>
      </c>
      <c r="I423" s="32" t="n">
        <v>189.1299984</v>
      </c>
      <c r="J423" s="31" t="n">
        <v>13</v>
      </c>
      <c r="K423" s="31" t="n">
        <v>3</v>
      </c>
    </row>
    <row r="424" customFormat="false" ht="15" hidden="false" customHeight="false" outlineLevel="0" collapsed="false">
      <c r="A424" s="31" t="n">
        <v>1121291</v>
      </c>
      <c r="B424" s="31" t="n">
        <v>1178</v>
      </c>
      <c r="C424" s="31" t="n">
        <v>144572</v>
      </c>
      <c r="D424" s="31" t="s">
        <v>58</v>
      </c>
      <c r="E424" s="31" t="s">
        <v>64</v>
      </c>
      <c r="F424" s="31" t="n">
        <v>10</v>
      </c>
      <c r="G424" s="31" t="n">
        <v>52553</v>
      </c>
      <c r="H424" s="31" t="n">
        <v>5</v>
      </c>
      <c r="I424" s="32" t="n">
        <v>8.529999852</v>
      </c>
      <c r="J424" s="31" t="n">
        <v>1</v>
      </c>
      <c r="K424" s="31" t="n">
        <v>0</v>
      </c>
    </row>
    <row r="425" customFormat="false" ht="15" hidden="false" customHeight="false" outlineLevel="0" collapsed="false">
      <c r="A425" s="31" t="n">
        <v>1121292</v>
      </c>
      <c r="B425" s="31" t="n">
        <v>1178</v>
      </c>
      <c r="C425" s="31" t="n">
        <v>144572</v>
      </c>
      <c r="D425" s="31" t="s">
        <v>58</v>
      </c>
      <c r="E425" s="31" t="s">
        <v>64</v>
      </c>
      <c r="F425" s="31" t="n">
        <v>10</v>
      </c>
      <c r="G425" s="31" t="n">
        <v>362296</v>
      </c>
      <c r="H425" s="31" t="n">
        <v>39</v>
      </c>
      <c r="I425" s="32" t="n">
        <v>67.77000129</v>
      </c>
      <c r="J425" s="31" t="n">
        <v>7</v>
      </c>
      <c r="K425" s="31" t="n">
        <v>3</v>
      </c>
    </row>
    <row r="426" customFormat="false" ht="15" hidden="false" customHeight="false" outlineLevel="0" collapsed="false">
      <c r="A426" s="31" t="n">
        <v>1121293</v>
      </c>
      <c r="B426" s="31" t="n">
        <v>1178</v>
      </c>
      <c r="C426" s="31" t="n">
        <v>144572</v>
      </c>
      <c r="D426" s="31" t="s">
        <v>58</v>
      </c>
      <c r="E426" s="31" t="s">
        <v>64</v>
      </c>
      <c r="F426" s="31" t="n">
        <v>10</v>
      </c>
      <c r="G426" s="31" t="n">
        <v>427729</v>
      </c>
      <c r="H426" s="31" t="n">
        <v>50</v>
      </c>
      <c r="I426" s="32" t="n">
        <v>96.8999989</v>
      </c>
      <c r="J426" s="31" t="n">
        <v>4</v>
      </c>
      <c r="K426" s="31" t="n">
        <v>1</v>
      </c>
    </row>
    <row r="427" customFormat="false" ht="15" hidden="false" customHeight="false" outlineLevel="0" collapsed="false">
      <c r="A427" s="31" t="n">
        <v>1121296</v>
      </c>
      <c r="B427" s="31" t="n">
        <v>1178</v>
      </c>
      <c r="C427" s="31" t="n">
        <v>144573</v>
      </c>
      <c r="D427" s="31" t="s">
        <v>58</v>
      </c>
      <c r="E427" s="31" t="s">
        <v>64</v>
      </c>
      <c r="F427" s="31" t="n">
        <v>15</v>
      </c>
      <c r="G427" s="31" t="n">
        <v>180351</v>
      </c>
      <c r="H427" s="31" t="n">
        <v>21</v>
      </c>
      <c r="I427" s="32" t="n">
        <v>37.13000011</v>
      </c>
      <c r="J427" s="31" t="n">
        <v>1</v>
      </c>
      <c r="K427" s="31" t="n">
        <v>1</v>
      </c>
    </row>
    <row r="428" customFormat="false" ht="15" hidden="false" customHeight="false" outlineLevel="0" collapsed="false">
      <c r="A428" s="31" t="n">
        <v>1121297</v>
      </c>
      <c r="B428" s="31" t="n">
        <v>1178</v>
      </c>
      <c r="C428" s="31" t="n">
        <v>144573</v>
      </c>
      <c r="D428" s="31" t="s">
        <v>58</v>
      </c>
      <c r="E428" s="31" t="s">
        <v>64</v>
      </c>
      <c r="F428" s="31" t="n">
        <v>15</v>
      </c>
      <c r="G428" s="31" t="n">
        <v>187329</v>
      </c>
      <c r="H428" s="31" t="n">
        <v>29</v>
      </c>
      <c r="I428" s="32" t="n">
        <v>53.15999961</v>
      </c>
      <c r="J428" s="31" t="n">
        <v>2</v>
      </c>
      <c r="K428" s="31" t="n">
        <v>1</v>
      </c>
    </row>
    <row r="429" customFormat="false" ht="15" hidden="false" customHeight="false" outlineLevel="0" collapsed="false">
      <c r="A429" s="31" t="n">
        <v>1121300</v>
      </c>
      <c r="B429" s="31" t="n">
        <v>1178</v>
      </c>
      <c r="C429" s="31" t="n">
        <v>144573</v>
      </c>
      <c r="D429" s="31" t="s">
        <v>58</v>
      </c>
      <c r="E429" s="31" t="s">
        <v>64</v>
      </c>
      <c r="F429" s="31" t="n">
        <v>15</v>
      </c>
      <c r="G429" s="31" t="n">
        <v>782894</v>
      </c>
      <c r="H429" s="31" t="n">
        <v>118</v>
      </c>
      <c r="I429" s="32" t="n">
        <v>192.9299995</v>
      </c>
      <c r="J429" s="31" t="n">
        <v>5</v>
      </c>
      <c r="K429" s="31" t="n">
        <v>2</v>
      </c>
    </row>
    <row r="430" customFormat="false" ht="15" hidden="false" customHeight="false" outlineLevel="0" collapsed="false">
      <c r="A430" s="31" t="n">
        <v>1121302</v>
      </c>
      <c r="B430" s="31" t="n">
        <v>1178</v>
      </c>
      <c r="C430" s="31" t="n">
        <v>144574</v>
      </c>
      <c r="D430" s="31" t="s">
        <v>58</v>
      </c>
      <c r="E430" s="31" t="s">
        <v>64</v>
      </c>
      <c r="F430" s="31" t="n">
        <v>16</v>
      </c>
      <c r="G430" s="31" t="n">
        <v>1206533</v>
      </c>
      <c r="H430" s="31" t="n">
        <v>128</v>
      </c>
      <c r="I430" s="32" t="n">
        <v>236.1199988</v>
      </c>
      <c r="J430" s="31" t="n">
        <v>17</v>
      </c>
      <c r="K430" s="31" t="n">
        <v>6</v>
      </c>
    </row>
    <row r="431" customFormat="false" ht="15" hidden="false" customHeight="false" outlineLevel="0" collapsed="false">
      <c r="A431" s="31" t="n">
        <v>1121303</v>
      </c>
      <c r="B431" s="31" t="n">
        <v>1178</v>
      </c>
      <c r="C431" s="31" t="n">
        <v>144574</v>
      </c>
      <c r="D431" s="31" t="s">
        <v>58</v>
      </c>
      <c r="E431" s="31" t="s">
        <v>64</v>
      </c>
      <c r="F431" s="31" t="n">
        <v>16</v>
      </c>
      <c r="G431" s="31" t="n">
        <v>84494</v>
      </c>
      <c r="H431" s="31" t="n">
        <v>7</v>
      </c>
      <c r="I431" s="32" t="n">
        <v>12.57000017</v>
      </c>
      <c r="J431" s="31" t="n">
        <v>2</v>
      </c>
      <c r="K431" s="31" t="n">
        <v>0</v>
      </c>
    </row>
    <row r="432" customFormat="false" ht="15" hidden="false" customHeight="false" outlineLevel="0" collapsed="false">
      <c r="A432" s="31" t="n">
        <v>1121304</v>
      </c>
      <c r="B432" s="31" t="n">
        <v>1178</v>
      </c>
      <c r="C432" s="31" t="n">
        <v>144574</v>
      </c>
      <c r="D432" s="31" t="s">
        <v>58</v>
      </c>
      <c r="E432" s="31" t="s">
        <v>64</v>
      </c>
      <c r="F432" s="31" t="n">
        <v>16</v>
      </c>
      <c r="G432" s="31" t="n">
        <v>94257</v>
      </c>
      <c r="H432" s="31" t="n">
        <v>7</v>
      </c>
      <c r="I432" s="32" t="n">
        <v>12.5800004</v>
      </c>
      <c r="J432" s="31" t="n">
        <v>1</v>
      </c>
      <c r="K432" s="31" t="n">
        <v>1</v>
      </c>
    </row>
    <row r="433" customFormat="false" ht="15" hidden="false" customHeight="false" outlineLevel="0" collapsed="false">
      <c r="A433" s="31" t="n">
        <v>1121309</v>
      </c>
      <c r="B433" s="31" t="n">
        <v>1178</v>
      </c>
      <c r="C433" s="31" t="n">
        <v>144575</v>
      </c>
      <c r="D433" s="31" t="s">
        <v>58</v>
      </c>
      <c r="E433" s="31" t="s">
        <v>64</v>
      </c>
      <c r="F433" s="31" t="n">
        <v>18</v>
      </c>
      <c r="G433" s="31" t="n">
        <v>131060</v>
      </c>
      <c r="H433" s="31" t="n">
        <v>16</v>
      </c>
      <c r="I433" s="32" t="n">
        <v>28.04999959</v>
      </c>
      <c r="J433" s="31" t="n">
        <v>2</v>
      </c>
      <c r="K433" s="31" t="n">
        <v>1</v>
      </c>
    </row>
    <row r="434" customFormat="false" ht="15" hidden="false" customHeight="false" outlineLevel="0" collapsed="false">
      <c r="A434" s="31" t="n">
        <v>1121310</v>
      </c>
      <c r="B434" s="31" t="n">
        <v>1178</v>
      </c>
      <c r="C434" s="31" t="n">
        <v>144575</v>
      </c>
      <c r="D434" s="31" t="s">
        <v>58</v>
      </c>
      <c r="E434" s="31" t="s">
        <v>64</v>
      </c>
      <c r="F434" s="31" t="n">
        <v>18</v>
      </c>
      <c r="G434" s="31" t="n">
        <v>341603</v>
      </c>
      <c r="H434" s="31" t="n">
        <v>50</v>
      </c>
      <c r="I434" s="32" t="n">
        <v>83.48000121</v>
      </c>
      <c r="J434" s="31" t="n">
        <v>4</v>
      </c>
      <c r="K434" s="31" t="n">
        <v>2</v>
      </c>
    </row>
    <row r="435" customFormat="false" ht="15" hidden="false" customHeight="false" outlineLevel="0" collapsed="false">
      <c r="A435" s="31" t="n">
        <v>1121311</v>
      </c>
      <c r="B435" s="31" t="n">
        <v>1178</v>
      </c>
      <c r="C435" s="31" t="n">
        <v>144575</v>
      </c>
      <c r="D435" s="31" t="s">
        <v>58</v>
      </c>
      <c r="E435" s="31" t="s">
        <v>64</v>
      </c>
      <c r="F435" s="31" t="n">
        <v>18</v>
      </c>
      <c r="G435" s="31" t="n">
        <v>140749</v>
      </c>
      <c r="H435" s="31" t="n">
        <v>19</v>
      </c>
      <c r="I435" s="32" t="n">
        <v>30.4799999</v>
      </c>
      <c r="J435" s="31" t="n">
        <v>1</v>
      </c>
      <c r="K435" s="31" t="n">
        <v>1</v>
      </c>
    </row>
    <row r="436" customFormat="false" ht="15" hidden="false" customHeight="false" outlineLevel="0" collapsed="false">
      <c r="A436" s="31" t="n">
        <v>1121312</v>
      </c>
      <c r="B436" s="31" t="n">
        <v>1178</v>
      </c>
      <c r="C436" s="31" t="n">
        <v>144575</v>
      </c>
      <c r="D436" s="31" t="s">
        <v>58</v>
      </c>
      <c r="E436" s="31" t="s">
        <v>64</v>
      </c>
      <c r="F436" s="31" t="n">
        <v>18</v>
      </c>
      <c r="G436" s="31" t="n">
        <v>102525</v>
      </c>
      <c r="H436" s="31" t="n">
        <v>13</v>
      </c>
      <c r="I436" s="32" t="n">
        <v>20.29999983</v>
      </c>
      <c r="J436" s="31" t="n">
        <v>2</v>
      </c>
      <c r="K436" s="31" t="n">
        <v>1</v>
      </c>
    </row>
    <row r="437" customFormat="false" ht="15" hidden="false" customHeight="false" outlineLevel="0" collapsed="false">
      <c r="A437" s="31" t="n">
        <v>1121316</v>
      </c>
      <c r="B437" s="31" t="n">
        <v>1178</v>
      </c>
      <c r="C437" s="31" t="n">
        <v>144576</v>
      </c>
      <c r="D437" s="31" t="s">
        <v>58</v>
      </c>
      <c r="E437" s="31" t="s">
        <v>64</v>
      </c>
      <c r="F437" s="31" t="n">
        <v>19</v>
      </c>
      <c r="G437" s="31" t="n">
        <v>447952</v>
      </c>
      <c r="H437" s="31" t="n">
        <v>68</v>
      </c>
      <c r="I437" s="32" t="n">
        <v>131.5799983</v>
      </c>
      <c r="J437" s="31" t="n">
        <v>8</v>
      </c>
      <c r="K437" s="31" t="n">
        <v>1</v>
      </c>
    </row>
    <row r="438" customFormat="false" ht="15" hidden="false" customHeight="false" outlineLevel="0" collapsed="false">
      <c r="A438" s="31" t="n">
        <v>1121317</v>
      </c>
      <c r="B438" s="31" t="n">
        <v>1178</v>
      </c>
      <c r="C438" s="31" t="n">
        <v>144576</v>
      </c>
      <c r="D438" s="31" t="s">
        <v>58</v>
      </c>
      <c r="E438" s="31" t="s">
        <v>64</v>
      </c>
      <c r="F438" s="31" t="n">
        <v>19</v>
      </c>
      <c r="G438" s="31" t="n">
        <v>76355</v>
      </c>
      <c r="H438" s="31" t="n">
        <v>9</v>
      </c>
      <c r="I438" s="32" t="n">
        <v>14.62999988</v>
      </c>
      <c r="J438" s="31" t="n">
        <v>2</v>
      </c>
      <c r="K438" s="31" t="n">
        <v>0</v>
      </c>
    </row>
    <row r="439" customFormat="false" ht="15" hidden="false" customHeight="false" outlineLevel="0" collapsed="false">
      <c r="A439" s="31" t="n">
        <v>1121319</v>
      </c>
      <c r="B439" s="31" t="n">
        <v>1178</v>
      </c>
      <c r="C439" s="31" t="n">
        <v>144577</v>
      </c>
      <c r="D439" s="31" t="s">
        <v>58</v>
      </c>
      <c r="E439" s="31" t="s">
        <v>64</v>
      </c>
      <c r="F439" s="31" t="n">
        <v>20</v>
      </c>
      <c r="G439" s="31" t="n">
        <v>256598</v>
      </c>
      <c r="H439" s="31" t="n">
        <v>38</v>
      </c>
      <c r="I439" s="32" t="n">
        <v>64.46999931</v>
      </c>
      <c r="J439" s="31" t="n">
        <v>6</v>
      </c>
      <c r="K439" s="31" t="n">
        <v>1</v>
      </c>
    </row>
    <row r="440" customFormat="false" ht="15" hidden="false" customHeight="false" outlineLevel="0" collapsed="false">
      <c r="A440" s="31" t="n">
        <v>1121321</v>
      </c>
      <c r="B440" s="31" t="n">
        <v>1178</v>
      </c>
      <c r="C440" s="31" t="n">
        <v>144577</v>
      </c>
      <c r="D440" s="31" t="s">
        <v>58</v>
      </c>
      <c r="E440" s="31" t="s">
        <v>64</v>
      </c>
      <c r="F440" s="31" t="n">
        <v>20</v>
      </c>
      <c r="G440" s="31" t="n">
        <v>127476</v>
      </c>
      <c r="H440" s="31" t="n">
        <v>21</v>
      </c>
      <c r="I440" s="32" t="n">
        <v>30.15000057</v>
      </c>
      <c r="J440" s="31" t="n">
        <v>3</v>
      </c>
      <c r="K440" s="31" t="n">
        <v>2</v>
      </c>
    </row>
    <row r="441" customFormat="false" ht="15" hidden="false" customHeight="false" outlineLevel="0" collapsed="false">
      <c r="A441" s="31" t="n">
        <v>1121322</v>
      </c>
      <c r="B441" s="31" t="n">
        <v>1178</v>
      </c>
      <c r="C441" s="31" t="n">
        <v>144577</v>
      </c>
      <c r="D441" s="31" t="s">
        <v>58</v>
      </c>
      <c r="E441" s="31" t="s">
        <v>64</v>
      </c>
      <c r="F441" s="31" t="n">
        <v>20</v>
      </c>
      <c r="G441" s="31" t="n">
        <v>237603</v>
      </c>
      <c r="H441" s="31" t="n">
        <v>37</v>
      </c>
      <c r="I441" s="32" t="n">
        <v>62.25000024</v>
      </c>
      <c r="J441" s="31" t="n">
        <v>5</v>
      </c>
      <c r="K441" s="31" t="n">
        <v>2</v>
      </c>
    </row>
    <row r="442" customFormat="false" ht="15" hidden="false" customHeight="false" outlineLevel="0" collapsed="false">
      <c r="A442" s="31" t="n">
        <v>1121327</v>
      </c>
      <c r="B442" s="31" t="n">
        <v>1178</v>
      </c>
      <c r="C442" s="31" t="n">
        <v>144578</v>
      </c>
      <c r="D442" s="31" t="s">
        <v>58</v>
      </c>
      <c r="E442" s="31" t="s">
        <v>64</v>
      </c>
      <c r="F442" s="31" t="n">
        <v>21</v>
      </c>
      <c r="G442" s="31" t="n">
        <v>271091</v>
      </c>
      <c r="H442" s="31" t="n">
        <v>42</v>
      </c>
      <c r="I442" s="32" t="n">
        <v>78.03999984</v>
      </c>
      <c r="J442" s="31" t="n">
        <v>3</v>
      </c>
      <c r="K442" s="31" t="n">
        <v>1</v>
      </c>
    </row>
    <row r="443" customFormat="false" ht="15" hidden="false" customHeight="false" outlineLevel="0" collapsed="false">
      <c r="A443" s="31" t="n">
        <v>1121330</v>
      </c>
      <c r="B443" s="31" t="n">
        <v>1178</v>
      </c>
      <c r="C443" s="31" t="n">
        <v>144578</v>
      </c>
      <c r="D443" s="31" t="s">
        <v>58</v>
      </c>
      <c r="E443" s="31" t="s">
        <v>64</v>
      </c>
      <c r="F443" s="31" t="n">
        <v>21</v>
      </c>
      <c r="G443" s="31" t="n">
        <v>21743</v>
      </c>
      <c r="H443" s="31" t="n">
        <v>2</v>
      </c>
      <c r="I443" s="32" t="n">
        <v>3.400000095</v>
      </c>
      <c r="J443" s="31" t="n">
        <v>1</v>
      </c>
      <c r="K443" s="31" t="n">
        <v>0</v>
      </c>
    </row>
    <row r="444" customFormat="false" ht="15" hidden="false" customHeight="false" outlineLevel="0" collapsed="false">
      <c r="A444" s="31" t="n">
        <v>1121333</v>
      </c>
      <c r="B444" s="31" t="n">
        <v>1178</v>
      </c>
      <c r="C444" s="31" t="n">
        <v>144579</v>
      </c>
      <c r="D444" s="31" t="s">
        <v>58</v>
      </c>
      <c r="E444" s="31" t="s">
        <v>64</v>
      </c>
      <c r="F444" s="31" t="n">
        <v>22</v>
      </c>
      <c r="G444" s="31" t="n">
        <v>88970</v>
      </c>
      <c r="H444" s="31" t="n">
        <v>10</v>
      </c>
      <c r="I444" s="32" t="n">
        <v>14.8300004</v>
      </c>
      <c r="J444" s="31" t="n">
        <v>2</v>
      </c>
      <c r="K444" s="31" t="n">
        <v>0</v>
      </c>
    </row>
    <row r="445" customFormat="false" ht="15" hidden="false" customHeight="false" outlineLevel="0" collapsed="false">
      <c r="A445" s="31" t="n">
        <v>1121334</v>
      </c>
      <c r="B445" s="31" t="n">
        <v>1178</v>
      </c>
      <c r="C445" s="31" t="n">
        <v>144579</v>
      </c>
      <c r="D445" s="31" t="s">
        <v>58</v>
      </c>
      <c r="E445" s="31" t="s">
        <v>64</v>
      </c>
      <c r="F445" s="31" t="n">
        <v>22</v>
      </c>
      <c r="G445" s="31" t="n">
        <v>108362</v>
      </c>
      <c r="H445" s="31" t="n">
        <v>13</v>
      </c>
      <c r="I445" s="32" t="n">
        <v>22.42999983</v>
      </c>
      <c r="J445" s="31" t="n">
        <v>1</v>
      </c>
      <c r="K445" s="31" t="n">
        <v>1</v>
      </c>
    </row>
    <row r="446" customFormat="false" ht="15" hidden="false" customHeight="false" outlineLevel="0" collapsed="false">
      <c r="A446" s="31" t="n">
        <v>1121335</v>
      </c>
      <c r="B446" s="31" t="n">
        <v>1178</v>
      </c>
      <c r="C446" s="31" t="n">
        <v>144579</v>
      </c>
      <c r="D446" s="31" t="s">
        <v>58</v>
      </c>
      <c r="E446" s="31" t="s">
        <v>64</v>
      </c>
      <c r="F446" s="31" t="n">
        <v>22</v>
      </c>
      <c r="G446" s="31" t="n">
        <v>188596</v>
      </c>
      <c r="H446" s="31" t="n">
        <v>27</v>
      </c>
      <c r="I446" s="32" t="n">
        <v>44.14000034</v>
      </c>
      <c r="J446" s="31" t="n">
        <v>3</v>
      </c>
      <c r="K446" s="31" t="n">
        <v>0</v>
      </c>
    </row>
    <row r="447" customFormat="false" ht="15" hidden="false" customHeight="false" outlineLevel="0" collapsed="false">
      <c r="A447" s="31" t="n">
        <v>1121336</v>
      </c>
      <c r="B447" s="31" t="n">
        <v>1178</v>
      </c>
      <c r="C447" s="31" t="n">
        <v>144579</v>
      </c>
      <c r="D447" s="31" t="s">
        <v>58</v>
      </c>
      <c r="E447" s="31" t="s">
        <v>64</v>
      </c>
      <c r="F447" s="31" t="n">
        <v>22</v>
      </c>
      <c r="G447" s="31" t="n">
        <v>275080</v>
      </c>
      <c r="H447" s="31" t="n">
        <v>43</v>
      </c>
      <c r="I447" s="32" t="n">
        <v>69.65999997</v>
      </c>
      <c r="J447" s="31" t="n">
        <v>4</v>
      </c>
      <c r="K447" s="31" t="n">
        <v>3</v>
      </c>
    </row>
    <row r="448" customFormat="false" ht="15" hidden="false" customHeight="false" outlineLevel="0" collapsed="false">
      <c r="A448" s="31" t="n">
        <v>1121337</v>
      </c>
      <c r="B448" s="31" t="n">
        <v>1178</v>
      </c>
      <c r="C448" s="31" t="n">
        <v>144580</v>
      </c>
      <c r="D448" s="31" t="s">
        <v>58</v>
      </c>
      <c r="E448" s="31" t="s">
        <v>64</v>
      </c>
      <c r="F448" s="31" t="n">
        <v>23</v>
      </c>
      <c r="G448" s="31" t="n">
        <v>64647</v>
      </c>
      <c r="H448" s="31" t="n">
        <v>10</v>
      </c>
      <c r="I448" s="32" t="n">
        <v>16.26999998</v>
      </c>
      <c r="J448" s="31" t="n">
        <v>1</v>
      </c>
      <c r="K448" s="31" t="n">
        <v>0</v>
      </c>
    </row>
    <row r="449" customFormat="false" ht="15" hidden="false" customHeight="false" outlineLevel="0" collapsed="false">
      <c r="A449" s="31" t="n">
        <v>1121338</v>
      </c>
      <c r="B449" s="31" t="n">
        <v>1178</v>
      </c>
      <c r="C449" s="31" t="n">
        <v>144580</v>
      </c>
      <c r="D449" s="31" t="s">
        <v>58</v>
      </c>
      <c r="E449" s="31" t="s">
        <v>64</v>
      </c>
      <c r="F449" s="31" t="n">
        <v>23</v>
      </c>
      <c r="G449" s="31" t="n">
        <v>31265</v>
      </c>
      <c r="H449" s="31" t="n">
        <v>4</v>
      </c>
      <c r="I449" s="32" t="n">
        <v>5.789999902</v>
      </c>
      <c r="J449" s="31" t="n">
        <v>1</v>
      </c>
      <c r="K449" s="31" t="n">
        <v>0</v>
      </c>
    </row>
    <row r="450" customFormat="false" ht="15" hidden="false" customHeight="false" outlineLevel="0" collapsed="false">
      <c r="A450" s="31" t="n">
        <v>1121340</v>
      </c>
      <c r="B450" s="31" t="n">
        <v>1178</v>
      </c>
      <c r="C450" s="31" t="n">
        <v>144580</v>
      </c>
      <c r="D450" s="31" t="s">
        <v>58</v>
      </c>
      <c r="E450" s="31" t="s">
        <v>64</v>
      </c>
      <c r="F450" s="31" t="n">
        <v>23</v>
      </c>
      <c r="G450" s="31" t="n">
        <v>140147</v>
      </c>
      <c r="H450" s="31" t="n">
        <v>24</v>
      </c>
      <c r="I450" s="32" t="n">
        <v>42.08000016</v>
      </c>
      <c r="J450" s="31" t="n">
        <v>2</v>
      </c>
      <c r="K450" s="31" t="n">
        <v>0</v>
      </c>
    </row>
    <row r="451" customFormat="false" ht="15" hidden="false" customHeight="false" outlineLevel="0" collapsed="false">
      <c r="A451" s="31" t="n">
        <v>1121341</v>
      </c>
      <c r="B451" s="31" t="n">
        <v>1178</v>
      </c>
      <c r="C451" s="31" t="n">
        <v>144580</v>
      </c>
      <c r="D451" s="31" t="s">
        <v>58</v>
      </c>
      <c r="E451" s="31" t="s">
        <v>64</v>
      </c>
      <c r="F451" s="31" t="n">
        <v>23</v>
      </c>
      <c r="G451" s="31" t="n">
        <v>223120</v>
      </c>
      <c r="H451" s="31" t="n">
        <v>40</v>
      </c>
      <c r="I451" s="32" t="n">
        <v>67.66999984</v>
      </c>
      <c r="J451" s="31" t="n">
        <v>1</v>
      </c>
      <c r="K451" s="31" t="n">
        <v>0</v>
      </c>
    </row>
    <row r="452" customFormat="false" ht="15" hidden="false" customHeight="false" outlineLevel="0" collapsed="false">
      <c r="A452" s="31" t="n">
        <v>1121342</v>
      </c>
      <c r="B452" s="31" t="n">
        <v>1178</v>
      </c>
      <c r="C452" s="31" t="n">
        <v>144580</v>
      </c>
      <c r="D452" s="31" t="s">
        <v>58</v>
      </c>
      <c r="E452" s="31" t="s">
        <v>64</v>
      </c>
      <c r="F452" s="31" t="n">
        <v>23</v>
      </c>
      <c r="G452" s="31" t="n">
        <v>104869</v>
      </c>
      <c r="H452" s="31" t="n">
        <v>18</v>
      </c>
      <c r="I452" s="32" t="n">
        <v>34.07000089</v>
      </c>
      <c r="J452" s="31" t="n">
        <v>1</v>
      </c>
      <c r="K452" s="31" t="n">
        <v>0</v>
      </c>
    </row>
    <row r="453" customFormat="false" ht="15" hidden="false" customHeight="false" outlineLevel="0" collapsed="false">
      <c r="A453" s="31" t="n">
        <v>1121344</v>
      </c>
      <c r="B453" s="31" t="n">
        <v>1178</v>
      </c>
      <c r="C453" s="31" t="n">
        <v>144581</v>
      </c>
      <c r="D453" s="31" t="s">
        <v>58</v>
      </c>
      <c r="E453" s="31" t="s">
        <v>64</v>
      </c>
      <c r="F453" s="31" t="n">
        <v>24</v>
      </c>
      <c r="G453" s="31" t="n">
        <v>165177</v>
      </c>
      <c r="H453" s="31" t="n">
        <v>23</v>
      </c>
      <c r="I453" s="32" t="n">
        <v>41.71999967</v>
      </c>
      <c r="J453" s="31" t="n">
        <v>4</v>
      </c>
      <c r="K453" s="31" t="n">
        <v>1</v>
      </c>
    </row>
    <row r="454" customFormat="false" ht="15" hidden="false" customHeight="false" outlineLevel="0" collapsed="false">
      <c r="A454" s="31" t="n">
        <v>1121345</v>
      </c>
      <c r="B454" s="31" t="n">
        <v>1178</v>
      </c>
      <c r="C454" s="31" t="n">
        <v>144581</v>
      </c>
      <c r="D454" s="31" t="s">
        <v>58</v>
      </c>
      <c r="E454" s="31" t="s">
        <v>64</v>
      </c>
      <c r="F454" s="31" t="n">
        <v>24</v>
      </c>
      <c r="G454" s="31" t="n">
        <v>84194</v>
      </c>
      <c r="H454" s="31" t="n">
        <v>11</v>
      </c>
      <c r="I454" s="32" t="n">
        <v>19.56999981</v>
      </c>
      <c r="J454" s="31" t="n">
        <v>1</v>
      </c>
      <c r="K454" s="31" t="n">
        <v>0</v>
      </c>
    </row>
    <row r="455" customFormat="false" ht="15" hidden="false" customHeight="false" outlineLevel="0" collapsed="false">
      <c r="A455" s="31" t="n">
        <v>1121347</v>
      </c>
      <c r="B455" s="31" t="n">
        <v>1178</v>
      </c>
      <c r="C455" s="31" t="n">
        <v>144581</v>
      </c>
      <c r="D455" s="31" t="s">
        <v>58</v>
      </c>
      <c r="E455" s="31" t="s">
        <v>64</v>
      </c>
      <c r="F455" s="31" t="n">
        <v>24</v>
      </c>
      <c r="G455" s="31" t="n">
        <v>220581</v>
      </c>
      <c r="H455" s="31" t="n">
        <v>31</v>
      </c>
      <c r="I455" s="32" t="n">
        <v>57.37</v>
      </c>
      <c r="J455" s="31" t="n">
        <v>1</v>
      </c>
      <c r="K455" s="31" t="n">
        <v>1</v>
      </c>
    </row>
    <row r="456" customFormat="false" ht="15" hidden="false" customHeight="false" outlineLevel="0" collapsed="false">
      <c r="A456" s="31" t="n">
        <v>1121350</v>
      </c>
      <c r="B456" s="31" t="n">
        <v>1178</v>
      </c>
      <c r="C456" s="31" t="n">
        <v>144582</v>
      </c>
      <c r="D456" s="31" t="s">
        <v>58</v>
      </c>
      <c r="E456" s="31" t="s">
        <v>64</v>
      </c>
      <c r="F456" s="31" t="n">
        <v>25</v>
      </c>
      <c r="G456" s="31" t="n">
        <v>75804</v>
      </c>
      <c r="H456" s="31" t="n">
        <v>10</v>
      </c>
      <c r="I456" s="32" t="n">
        <v>17.36999965</v>
      </c>
      <c r="J456" s="31" t="n">
        <v>2</v>
      </c>
      <c r="K456" s="31" t="n">
        <v>1</v>
      </c>
    </row>
    <row r="457" customFormat="false" ht="15" hidden="false" customHeight="false" outlineLevel="0" collapsed="false">
      <c r="A457" s="31" t="n">
        <v>1121352</v>
      </c>
      <c r="B457" s="31" t="n">
        <v>1178</v>
      </c>
      <c r="C457" s="31" t="n">
        <v>144582</v>
      </c>
      <c r="D457" s="31" t="s">
        <v>58</v>
      </c>
      <c r="E457" s="31" t="s">
        <v>64</v>
      </c>
      <c r="F457" s="31" t="n">
        <v>25</v>
      </c>
      <c r="G457" s="31" t="n">
        <v>368986</v>
      </c>
      <c r="H457" s="31" t="n">
        <v>59</v>
      </c>
      <c r="I457" s="32" t="n">
        <v>100.289999</v>
      </c>
      <c r="J457" s="31" t="n">
        <v>0</v>
      </c>
      <c r="K457" s="31" t="n">
        <v>0</v>
      </c>
    </row>
    <row r="458" customFormat="false" ht="15" hidden="false" customHeight="false" outlineLevel="0" collapsed="false">
      <c r="A458" s="31" t="n">
        <v>1121353</v>
      </c>
      <c r="B458" s="31" t="n">
        <v>1178</v>
      </c>
      <c r="C458" s="31" t="n">
        <v>144582</v>
      </c>
      <c r="D458" s="31" t="s">
        <v>58</v>
      </c>
      <c r="E458" s="31" t="s">
        <v>64</v>
      </c>
      <c r="F458" s="31" t="n">
        <v>25</v>
      </c>
      <c r="G458" s="31" t="n">
        <v>28194</v>
      </c>
      <c r="H458" s="31" t="n">
        <v>3</v>
      </c>
      <c r="I458" s="32" t="n">
        <v>3.709999919</v>
      </c>
      <c r="J458" s="31" t="n">
        <v>2</v>
      </c>
      <c r="K458" s="31" t="n">
        <v>0</v>
      </c>
    </row>
    <row r="459" customFormat="false" ht="15" hidden="false" customHeight="false" outlineLevel="0" collapsed="false">
      <c r="A459" s="31" t="n">
        <v>1121355</v>
      </c>
      <c r="B459" s="31" t="n">
        <v>1178</v>
      </c>
      <c r="C459" s="31" t="n">
        <v>144583</v>
      </c>
      <c r="D459" s="31" t="s">
        <v>58</v>
      </c>
      <c r="E459" s="31" t="s">
        <v>64</v>
      </c>
      <c r="F459" s="31" t="n">
        <v>26</v>
      </c>
      <c r="G459" s="31" t="n">
        <v>99961</v>
      </c>
      <c r="H459" s="31" t="n">
        <v>14</v>
      </c>
      <c r="I459" s="32" t="n">
        <v>23.2099998</v>
      </c>
      <c r="J459" s="31" t="n">
        <v>1</v>
      </c>
      <c r="K459" s="31" t="n">
        <v>0</v>
      </c>
    </row>
    <row r="460" customFormat="false" ht="15" hidden="false" customHeight="false" outlineLevel="0" collapsed="false">
      <c r="A460" s="31" t="n">
        <v>1121361</v>
      </c>
      <c r="B460" s="31" t="n">
        <v>1178</v>
      </c>
      <c r="C460" s="31" t="n">
        <v>144584</v>
      </c>
      <c r="D460" s="31" t="s">
        <v>58</v>
      </c>
      <c r="E460" s="31" t="s">
        <v>64</v>
      </c>
      <c r="F460" s="31" t="n">
        <v>27</v>
      </c>
      <c r="G460" s="31" t="n">
        <v>685781</v>
      </c>
      <c r="H460" s="31" t="n">
        <v>103</v>
      </c>
      <c r="I460" s="32" t="n">
        <v>177.8899992</v>
      </c>
      <c r="J460" s="31" t="n">
        <v>10</v>
      </c>
      <c r="K460" s="31" t="n">
        <v>1</v>
      </c>
    </row>
    <row r="461" customFormat="false" ht="15" hidden="false" customHeight="false" outlineLevel="0" collapsed="false">
      <c r="A461" s="31" t="n">
        <v>1121364</v>
      </c>
      <c r="B461" s="31" t="n">
        <v>1178</v>
      </c>
      <c r="C461" s="31" t="n">
        <v>144584</v>
      </c>
      <c r="D461" s="31" t="s">
        <v>58</v>
      </c>
      <c r="E461" s="31" t="s">
        <v>64</v>
      </c>
      <c r="F461" s="31" t="n">
        <v>27</v>
      </c>
      <c r="G461" s="31" t="n">
        <v>274222</v>
      </c>
      <c r="H461" s="31" t="n">
        <v>43</v>
      </c>
      <c r="I461" s="32" t="n">
        <v>66.7700001</v>
      </c>
      <c r="J461" s="31" t="n">
        <v>2</v>
      </c>
      <c r="K461" s="31" t="n">
        <v>1</v>
      </c>
    </row>
    <row r="462" customFormat="false" ht="15" hidden="false" customHeight="false" outlineLevel="0" collapsed="false">
      <c r="A462" s="31" t="n">
        <v>1121365</v>
      </c>
      <c r="B462" s="31" t="n">
        <v>1178</v>
      </c>
      <c r="C462" s="31" t="n">
        <v>144584</v>
      </c>
      <c r="D462" s="31" t="s">
        <v>58</v>
      </c>
      <c r="E462" s="31" t="s">
        <v>64</v>
      </c>
      <c r="F462" s="31" t="n">
        <v>27</v>
      </c>
      <c r="G462" s="31" t="n">
        <v>110503</v>
      </c>
      <c r="H462" s="31" t="n">
        <v>25</v>
      </c>
      <c r="I462" s="32" t="n">
        <v>32.67999995</v>
      </c>
      <c r="J462" s="31" t="n">
        <v>4</v>
      </c>
      <c r="K462" s="31" t="n">
        <v>0</v>
      </c>
    </row>
    <row r="463" customFormat="false" ht="15" hidden="false" customHeight="false" outlineLevel="0" collapsed="false">
      <c r="A463" s="31" t="n">
        <v>1121367</v>
      </c>
      <c r="B463" s="31" t="n">
        <v>1178</v>
      </c>
      <c r="C463" s="31" t="n">
        <v>144585</v>
      </c>
      <c r="D463" s="31" t="s">
        <v>58</v>
      </c>
      <c r="E463" s="31" t="s">
        <v>64</v>
      </c>
      <c r="F463" s="31" t="n">
        <v>28</v>
      </c>
      <c r="G463" s="31" t="n">
        <v>1447755</v>
      </c>
      <c r="H463" s="31" t="n">
        <v>233</v>
      </c>
      <c r="I463" s="32" t="n">
        <v>420.5799983</v>
      </c>
      <c r="J463" s="31" t="n">
        <v>11</v>
      </c>
      <c r="K463" s="31" t="n">
        <v>8</v>
      </c>
    </row>
    <row r="464" customFormat="false" ht="15" hidden="false" customHeight="false" outlineLevel="0" collapsed="false">
      <c r="A464" s="31" t="n">
        <v>1121368</v>
      </c>
      <c r="B464" s="31" t="n">
        <v>1178</v>
      </c>
      <c r="C464" s="31" t="n">
        <v>144585</v>
      </c>
      <c r="D464" s="31" t="s">
        <v>58</v>
      </c>
      <c r="E464" s="31" t="s">
        <v>64</v>
      </c>
      <c r="F464" s="31" t="n">
        <v>28</v>
      </c>
      <c r="G464" s="31" t="n">
        <v>358987</v>
      </c>
      <c r="H464" s="31" t="n">
        <v>52</v>
      </c>
      <c r="I464" s="32" t="n">
        <v>87.55000067</v>
      </c>
      <c r="J464" s="31" t="n">
        <v>1</v>
      </c>
      <c r="K464" s="31" t="n">
        <v>0</v>
      </c>
    </row>
    <row r="465" customFormat="false" ht="15" hidden="false" customHeight="false" outlineLevel="0" collapsed="false">
      <c r="A465" s="31" t="n">
        <v>1121369</v>
      </c>
      <c r="B465" s="31" t="n">
        <v>1178</v>
      </c>
      <c r="C465" s="31" t="n">
        <v>144585</v>
      </c>
      <c r="D465" s="31" t="s">
        <v>58</v>
      </c>
      <c r="E465" s="31" t="s">
        <v>64</v>
      </c>
      <c r="F465" s="31" t="n">
        <v>28</v>
      </c>
      <c r="G465" s="31" t="n">
        <v>826205</v>
      </c>
      <c r="H465" s="31" t="n">
        <v>125</v>
      </c>
      <c r="I465" s="32" t="n">
        <v>232.3700008</v>
      </c>
      <c r="J465" s="31" t="n">
        <v>5</v>
      </c>
      <c r="K465" s="31" t="n">
        <v>1</v>
      </c>
    </row>
    <row r="466" customFormat="false" ht="15" hidden="false" customHeight="false" outlineLevel="0" collapsed="false">
      <c r="A466" s="31" t="n">
        <v>1121370</v>
      </c>
      <c r="B466" s="31" t="n">
        <v>1178</v>
      </c>
      <c r="C466" s="31" t="n">
        <v>144585</v>
      </c>
      <c r="D466" s="31" t="s">
        <v>58</v>
      </c>
      <c r="E466" s="31" t="s">
        <v>64</v>
      </c>
      <c r="F466" s="31" t="n">
        <v>28</v>
      </c>
      <c r="G466" s="31" t="n">
        <v>550954</v>
      </c>
      <c r="H466" s="31" t="n">
        <v>84</v>
      </c>
      <c r="I466" s="32" t="n">
        <v>150.1400012</v>
      </c>
      <c r="J466" s="31" t="n">
        <v>3</v>
      </c>
      <c r="K466" s="31" t="n">
        <v>0</v>
      </c>
    </row>
    <row r="467" customFormat="false" ht="15" hidden="false" customHeight="false" outlineLevel="0" collapsed="false">
      <c r="A467" s="31" t="n">
        <v>1121372</v>
      </c>
      <c r="B467" s="31" t="n">
        <v>1178</v>
      </c>
      <c r="C467" s="31" t="n">
        <v>144585</v>
      </c>
      <c r="D467" s="31" t="s">
        <v>58</v>
      </c>
      <c r="E467" s="31" t="s">
        <v>64</v>
      </c>
      <c r="F467" s="31" t="n">
        <v>28</v>
      </c>
      <c r="G467" s="31" t="n">
        <v>378350</v>
      </c>
      <c r="H467" s="31" t="n">
        <v>55</v>
      </c>
      <c r="I467" s="32" t="n">
        <v>96.48000073</v>
      </c>
      <c r="J467" s="31" t="n">
        <v>4</v>
      </c>
      <c r="K467" s="31" t="n">
        <v>0</v>
      </c>
    </row>
    <row r="468" customFormat="false" ht="15" hidden="false" customHeight="false" outlineLevel="0" collapsed="false">
      <c r="A468" s="31" t="n">
        <v>1121373</v>
      </c>
      <c r="B468" s="31" t="n">
        <v>1178</v>
      </c>
      <c r="C468" s="31" t="n">
        <v>144586</v>
      </c>
      <c r="D468" s="31" t="s">
        <v>58</v>
      </c>
      <c r="E468" s="31" t="s">
        <v>64</v>
      </c>
      <c r="F468" s="31" t="n">
        <v>29</v>
      </c>
      <c r="G468" s="31" t="n">
        <v>492784</v>
      </c>
      <c r="H468" s="31" t="n">
        <v>56</v>
      </c>
      <c r="I468" s="32" t="n">
        <v>95.5100013</v>
      </c>
      <c r="J468" s="31" t="n">
        <v>7</v>
      </c>
      <c r="K468" s="31" t="n">
        <v>4</v>
      </c>
    </row>
    <row r="469" customFormat="false" ht="15" hidden="false" customHeight="false" outlineLevel="0" collapsed="false">
      <c r="A469" s="31" t="n">
        <v>1121374</v>
      </c>
      <c r="B469" s="31" t="n">
        <v>1178</v>
      </c>
      <c r="C469" s="31" t="n">
        <v>144586</v>
      </c>
      <c r="D469" s="31" t="s">
        <v>58</v>
      </c>
      <c r="E469" s="31" t="s">
        <v>64</v>
      </c>
      <c r="F469" s="31" t="n">
        <v>29</v>
      </c>
      <c r="G469" s="31" t="n">
        <v>327158</v>
      </c>
      <c r="H469" s="31" t="n">
        <v>43</v>
      </c>
      <c r="I469" s="32" t="n">
        <v>72.3100003</v>
      </c>
      <c r="J469" s="31" t="n">
        <v>6</v>
      </c>
      <c r="K469" s="31" t="n">
        <v>2</v>
      </c>
    </row>
    <row r="470" customFormat="false" ht="15" hidden="false" customHeight="false" outlineLevel="0" collapsed="false">
      <c r="A470" s="31" t="n">
        <v>1121377</v>
      </c>
      <c r="B470" s="31" t="n">
        <v>1178</v>
      </c>
      <c r="C470" s="31" t="n">
        <v>144586</v>
      </c>
      <c r="D470" s="31" t="s">
        <v>58</v>
      </c>
      <c r="E470" s="31" t="s">
        <v>64</v>
      </c>
      <c r="F470" s="31" t="n">
        <v>29</v>
      </c>
      <c r="G470" s="31" t="n">
        <v>59390</v>
      </c>
      <c r="H470" s="31" t="n">
        <v>5</v>
      </c>
      <c r="I470" s="32" t="n">
        <v>9.209999919</v>
      </c>
      <c r="J470" s="31" t="n">
        <v>5</v>
      </c>
      <c r="K470" s="31" t="n">
        <v>3</v>
      </c>
    </row>
    <row r="471" customFormat="false" ht="15" hidden="false" customHeight="false" outlineLevel="0" collapsed="false">
      <c r="A471" s="31" t="n">
        <v>1121378</v>
      </c>
      <c r="B471" s="31" t="n">
        <v>1178</v>
      </c>
      <c r="C471" s="31" t="n">
        <v>144586</v>
      </c>
      <c r="D471" s="31" t="s">
        <v>58</v>
      </c>
      <c r="E471" s="31" t="s">
        <v>64</v>
      </c>
      <c r="F471" s="31" t="n">
        <v>29</v>
      </c>
      <c r="G471" s="31" t="n">
        <v>1040330</v>
      </c>
      <c r="H471" s="31" t="n">
        <v>147</v>
      </c>
      <c r="I471" s="32" t="n">
        <v>254.2500038</v>
      </c>
      <c r="J471" s="31" t="n">
        <v>13</v>
      </c>
      <c r="K471" s="31" t="n">
        <v>2</v>
      </c>
    </row>
    <row r="472" customFormat="false" ht="15" hidden="false" customHeight="false" outlineLevel="0" collapsed="false">
      <c r="A472" s="31" t="n">
        <v>1121379</v>
      </c>
      <c r="B472" s="31" t="n">
        <v>1178</v>
      </c>
      <c r="C472" s="31" t="n">
        <v>144587</v>
      </c>
      <c r="D472" s="31" t="s">
        <v>58</v>
      </c>
      <c r="E472" s="31" t="s">
        <v>64</v>
      </c>
      <c r="F472" s="31" t="n">
        <v>30</v>
      </c>
      <c r="G472" s="31" t="n">
        <v>49422</v>
      </c>
      <c r="H472" s="31" t="n">
        <v>6</v>
      </c>
      <c r="I472" s="32" t="n">
        <v>11.17000031</v>
      </c>
      <c r="J472" s="31" t="n">
        <v>1</v>
      </c>
      <c r="K472" s="31" t="n">
        <v>0</v>
      </c>
    </row>
    <row r="473" customFormat="false" ht="15" hidden="false" customHeight="false" outlineLevel="0" collapsed="false">
      <c r="A473" s="31" t="n">
        <v>1121380</v>
      </c>
      <c r="B473" s="31" t="n">
        <v>1178</v>
      </c>
      <c r="C473" s="31" t="n">
        <v>144587</v>
      </c>
      <c r="D473" s="31" t="s">
        <v>58</v>
      </c>
      <c r="E473" s="31" t="s">
        <v>64</v>
      </c>
      <c r="F473" s="31" t="n">
        <v>30</v>
      </c>
      <c r="G473" s="31" t="n">
        <v>131091</v>
      </c>
      <c r="H473" s="31" t="n">
        <v>18</v>
      </c>
      <c r="I473" s="32" t="n">
        <v>34.23000026</v>
      </c>
      <c r="J473" s="31" t="n">
        <v>3</v>
      </c>
      <c r="K473" s="31" t="n">
        <v>1</v>
      </c>
    </row>
    <row r="474" customFormat="false" ht="15" hidden="false" customHeight="false" outlineLevel="0" collapsed="false">
      <c r="A474" s="31" t="n">
        <v>1121381</v>
      </c>
      <c r="B474" s="31" t="n">
        <v>1178</v>
      </c>
      <c r="C474" s="31" t="n">
        <v>144587</v>
      </c>
      <c r="D474" s="31" t="s">
        <v>58</v>
      </c>
      <c r="E474" s="31" t="s">
        <v>64</v>
      </c>
      <c r="F474" s="31" t="n">
        <v>30</v>
      </c>
      <c r="G474" s="31" t="n">
        <v>95691</v>
      </c>
      <c r="H474" s="31" t="n">
        <v>15</v>
      </c>
      <c r="I474" s="32" t="n">
        <v>25.26000011</v>
      </c>
      <c r="J474" s="31" t="n">
        <v>1</v>
      </c>
      <c r="K474" s="31" t="n">
        <v>1</v>
      </c>
    </row>
    <row r="475" customFormat="false" ht="15" hidden="false" customHeight="false" outlineLevel="0" collapsed="false">
      <c r="A475" s="31" t="n">
        <v>1121390</v>
      </c>
      <c r="B475" s="31" t="n">
        <v>1178</v>
      </c>
      <c r="C475" s="31" t="n">
        <v>144588</v>
      </c>
      <c r="D475" s="31" t="s">
        <v>58</v>
      </c>
      <c r="E475" s="31" t="s">
        <v>64</v>
      </c>
      <c r="F475" s="31" t="n">
        <v>31</v>
      </c>
      <c r="G475" s="31" t="n">
        <v>15513</v>
      </c>
      <c r="H475" s="31" t="n">
        <v>1</v>
      </c>
      <c r="I475" s="32" t="n">
        <v>1.289999962</v>
      </c>
      <c r="J475" s="31" t="n">
        <v>1</v>
      </c>
      <c r="K475" s="31" t="n">
        <v>0</v>
      </c>
    </row>
    <row r="476" customFormat="false" ht="15" hidden="false" customHeight="false" outlineLevel="0" collapsed="false">
      <c r="A476" s="31" t="n">
        <v>1121391</v>
      </c>
      <c r="B476" s="31" t="n">
        <v>1178</v>
      </c>
      <c r="C476" s="31" t="n">
        <v>144589</v>
      </c>
      <c r="D476" s="31" t="s">
        <v>58</v>
      </c>
      <c r="E476" s="31" t="s">
        <v>64</v>
      </c>
      <c r="F476" s="31" t="n">
        <v>32</v>
      </c>
      <c r="G476" s="31" t="n">
        <v>382537</v>
      </c>
      <c r="H476" s="31" t="n">
        <v>63</v>
      </c>
      <c r="I476" s="32" t="n">
        <v>113.9900012</v>
      </c>
      <c r="J476" s="31" t="n">
        <v>4</v>
      </c>
      <c r="K476" s="31" t="n">
        <v>3</v>
      </c>
    </row>
    <row r="477" customFormat="false" ht="15" hidden="false" customHeight="false" outlineLevel="0" collapsed="false">
      <c r="A477" s="31" t="n">
        <v>1121394</v>
      </c>
      <c r="B477" s="31" t="n">
        <v>1178</v>
      </c>
      <c r="C477" s="31" t="n">
        <v>144589</v>
      </c>
      <c r="D477" s="31" t="s">
        <v>58</v>
      </c>
      <c r="E477" s="31" t="s">
        <v>64</v>
      </c>
      <c r="F477" s="31" t="n">
        <v>32</v>
      </c>
      <c r="G477" s="31" t="n">
        <v>461356</v>
      </c>
      <c r="H477" s="31" t="n">
        <v>64</v>
      </c>
      <c r="I477" s="32" t="n">
        <v>121.0999982</v>
      </c>
      <c r="J477" s="31" t="n">
        <v>6</v>
      </c>
      <c r="K477" s="31" t="n">
        <v>3</v>
      </c>
    </row>
    <row r="478" customFormat="false" ht="15" hidden="false" customHeight="false" outlineLevel="0" collapsed="false">
      <c r="A478" s="31" t="n">
        <v>1121395</v>
      </c>
      <c r="B478" s="31" t="n">
        <v>1178</v>
      </c>
      <c r="C478" s="31" t="n">
        <v>144589</v>
      </c>
      <c r="D478" s="31" t="s">
        <v>58</v>
      </c>
      <c r="E478" s="31" t="s">
        <v>64</v>
      </c>
      <c r="F478" s="31" t="n">
        <v>32</v>
      </c>
      <c r="G478" s="31" t="n">
        <v>392541</v>
      </c>
      <c r="H478" s="31" t="n">
        <v>53</v>
      </c>
      <c r="I478" s="32" t="n">
        <v>98.70000017</v>
      </c>
      <c r="J478" s="31" t="n">
        <v>3</v>
      </c>
      <c r="K478" s="31" t="n">
        <v>2</v>
      </c>
    </row>
    <row r="479" customFormat="false" ht="15" hidden="false" customHeight="false" outlineLevel="0" collapsed="false">
      <c r="A479" s="31" t="n">
        <v>1121398</v>
      </c>
      <c r="B479" s="31" t="n">
        <v>1178</v>
      </c>
      <c r="C479" s="31" t="n">
        <v>144590</v>
      </c>
      <c r="D479" s="31" t="s">
        <v>58</v>
      </c>
      <c r="E479" s="31" t="s">
        <v>64</v>
      </c>
      <c r="F479" s="31" t="n">
        <v>36</v>
      </c>
      <c r="G479" s="31" t="n">
        <v>35088</v>
      </c>
      <c r="H479" s="31" t="n">
        <v>5</v>
      </c>
      <c r="I479" s="32" t="n">
        <v>8.800000072</v>
      </c>
      <c r="J479" s="31" t="n">
        <v>1</v>
      </c>
      <c r="K479" s="31" t="n">
        <v>1</v>
      </c>
    </row>
    <row r="480" customFormat="false" ht="15" hidden="false" customHeight="false" outlineLevel="0" collapsed="false">
      <c r="A480" s="31" t="n">
        <v>1121400</v>
      </c>
      <c r="B480" s="31" t="n">
        <v>1178</v>
      </c>
      <c r="C480" s="31" t="n">
        <v>144590</v>
      </c>
      <c r="D480" s="31" t="s">
        <v>58</v>
      </c>
      <c r="E480" s="31" t="s">
        <v>64</v>
      </c>
      <c r="F480" s="31" t="n">
        <v>36</v>
      </c>
      <c r="G480" s="31" t="n">
        <v>53933</v>
      </c>
      <c r="H480" s="31" t="n">
        <v>6</v>
      </c>
      <c r="I480" s="32" t="n">
        <v>9.929999948</v>
      </c>
      <c r="J480" s="31" t="n">
        <v>3</v>
      </c>
      <c r="K480" s="31" t="n">
        <v>1</v>
      </c>
    </row>
    <row r="481" customFormat="false" ht="15" hidden="false" customHeight="false" outlineLevel="0" collapsed="false">
      <c r="A481" s="31" t="n">
        <v>1121403</v>
      </c>
      <c r="B481" s="31" t="n">
        <v>1178</v>
      </c>
      <c r="C481" s="31" t="n">
        <v>144591</v>
      </c>
      <c r="D481" s="31" t="s">
        <v>58</v>
      </c>
      <c r="E481" s="31" t="s">
        <v>64</v>
      </c>
      <c r="F481" s="31" t="n">
        <v>63</v>
      </c>
      <c r="G481" s="31" t="n">
        <v>228861</v>
      </c>
      <c r="H481" s="31" t="n">
        <v>33</v>
      </c>
      <c r="I481" s="32" t="n">
        <v>53.38999939</v>
      </c>
      <c r="J481" s="31" t="n">
        <v>4</v>
      </c>
      <c r="K481" s="31" t="n">
        <v>2</v>
      </c>
    </row>
    <row r="482" customFormat="false" ht="15" hidden="false" customHeight="false" outlineLevel="0" collapsed="false">
      <c r="A482" s="31" t="n">
        <v>1121405</v>
      </c>
      <c r="B482" s="31" t="n">
        <v>1178</v>
      </c>
      <c r="C482" s="31" t="n">
        <v>144591</v>
      </c>
      <c r="D482" s="31" t="s">
        <v>58</v>
      </c>
      <c r="E482" s="31" t="s">
        <v>64</v>
      </c>
      <c r="F482" s="31" t="n">
        <v>63</v>
      </c>
      <c r="G482" s="31" t="n">
        <v>20959</v>
      </c>
      <c r="H482" s="31" t="n">
        <v>2</v>
      </c>
      <c r="I482" s="32" t="n">
        <v>3.769999981</v>
      </c>
      <c r="J482" s="31" t="n">
        <v>1</v>
      </c>
      <c r="K482" s="31" t="n">
        <v>1</v>
      </c>
    </row>
    <row r="483" customFormat="false" ht="15" hidden="false" customHeight="false" outlineLevel="0" collapsed="false">
      <c r="A483" s="31" t="n">
        <v>1121410</v>
      </c>
      <c r="B483" s="31" t="n">
        <v>1178</v>
      </c>
      <c r="C483" s="31" t="n">
        <v>144592</v>
      </c>
      <c r="D483" s="31" t="s">
        <v>58</v>
      </c>
      <c r="E483" s="31" t="s">
        <v>64</v>
      </c>
      <c r="F483" s="31" t="n">
        <v>64</v>
      </c>
      <c r="G483" s="31" t="n">
        <v>24992</v>
      </c>
      <c r="H483" s="31" t="n">
        <v>2</v>
      </c>
      <c r="I483" s="32" t="n">
        <v>3.190000057</v>
      </c>
      <c r="J483" s="31" t="n">
        <v>1</v>
      </c>
      <c r="K483" s="31" t="n">
        <v>0</v>
      </c>
    </row>
    <row r="484" customFormat="false" ht="15" hidden="false" customHeight="false" outlineLevel="0" collapsed="false">
      <c r="A484" s="31" t="n">
        <v>1121411</v>
      </c>
      <c r="B484" s="31" t="n">
        <v>1178</v>
      </c>
      <c r="C484" s="31" t="n">
        <v>144592</v>
      </c>
      <c r="D484" s="31" t="s">
        <v>58</v>
      </c>
      <c r="E484" s="31" t="s">
        <v>64</v>
      </c>
      <c r="F484" s="31" t="n">
        <v>64</v>
      </c>
      <c r="G484" s="31" t="n">
        <v>100351</v>
      </c>
      <c r="H484" s="31" t="n">
        <v>15</v>
      </c>
      <c r="I484" s="32" t="n">
        <v>24.17999995</v>
      </c>
      <c r="J484" s="31" t="n">
        <v>2</v>
      </c>
      <c r="K484" s="31" t="n">
        <v>1</v>
      </c>
    </row>
    <row r="485" customFormat="false" ht="15" hidden="false" customHeight="false" outlineLevel="0" collapsed="false">
      <c r="A485" s="31" t="n">
        <v>1121412</v>
      </c>
      <c r="B485" s="31" t="n">
        <v>1178</v>
      </c>
      <c r="C485" s="31" t="n">
        <v>144592</v>
      </c>
      <c r="D485" s="31" t="s">
        <v>58</v>
      </c>
      <c r="E485" s="31" t="s">
        <v>64</v>
      </c>
      <c r="F485" s="31" t="n">
        <v>64</v>
      </c>
      <c r="G485" s="31" t="n">
        <v>292448</v>
      </c>
      <c r="H485" s="31" t="n">
        <v>43</v>
      </c>
      <c r="I485" s="32" t="n">
        <v>76.89999968</v>
      </c>
      <c r="J485" s="31" t="n">
        <v>2</v>
      </c>
      <c r="K485" s="31" t="n">
        <v>1</v>
      </c>
    </row>
    <row r="486" customFormat="false" ht="15" hidden="false" customHeight="false" outlineLevel="0" collapsed="false">
      <c r="A486" s="31" t="n">
        <v>1121413</v>
      </c>
      <c r="B486" s="31" t="n">
        <v>1178</v>
      </c>
      <c r="C486" s="31" t="n">
        <v>144592</v>
      </c>
      <c r="D486" s="31" t="s">
        <v>58</v>
      </c>
      <c r="E486" s="31" t="s">
        <v>64</v>
      </c>
      <c r="F486" s="31" t="n">
        <v>64</v>
      </c>
      <c r="G486" s="31" t="n">
        <v>65060</v>
      </c>
      <c r="H486" s="31" t="n">
        <v>7</v>
      </c>
      <c r="I486" s="32" t="n">
        <v>14.5200001</v>
      </c>
      <c r="J486" s="31" t="n">
        <v>1</v>
      </c>
      <c r="K486" s="31" t="n">
        <v>1</v>
      </c>
    </row>
    <row r="487" customFormat="false" ht="15" hidden="false" customHeight="false" outlineLevel="0" collapsed="false">
      <c r="A487" s="31" t="n">
        <v>1121414</v>
      </c>
      <c r="B487" s="31" t="n">
        <v>1178</v>
      </c>
      <c r="C487" s="31" t="n">
        <v>144592</v>
      </c>
      <c r="D487" s="31" t="s">
        <v>58</v>
      </c>
      <c r="E487" s="31" t="s">
        <v>64</v>
      </c>
      <c r="F487" s="31" t="n">
        <v>64</v>
      </c>
      <c r="G487" s="31" t="n">
        <v>133316</v>
      </c>
      <c r="H487" s="31" t="n">
        <v>21</v>
      </c>
      <c r="I487" s="32" t="n">
        <v>36.17000055</v>
      </c>
      <c r="J487" s="31" t="n">
        <v>2</v>
      </c>
      <c r="K487" s="31" t="n">
        <v>0</v>
      </c>
    </row>
    <row r="488" customFormat="false" ht="15" hidden="false" customHeight="false" outlineLevel="0" collapsed="false">
      <c r="A488" s="31" t="n">
        <v>1121415</v>
      </c>
      <c r="B488" s="31" t="n">
        <v>1178</v>
      </c>
      <c r="C488" s="31" t="n">
        <v>144593</v>
      </c>
      <c r="D488" s="31" t="s">
        <v>58</v>
      </c>
      <c r="E488" s="31" t="s">
        <v>64</v>
      </c>
      <c r="F488" s="31" t="n">
        <v>65</v>
      </c>
      <c r="G488" s="31" t="n">
        <v>113501</v>
      </c>
      <c r="H488" s="31" t="n">
        <v>26</v>
      </c>
      <c r="I488" s="32" t="n">
        <v>38.44000077</v>
      </c>
      <c r="J488" s="31" t="n">
        <v>5</v>
      </c>
      <c r="K488" s="31" t="n">
        <v>4</v>
      </c>
    </row>
    <row r="489" customFormat="false" ht="15" hidden="false" customHeight="false" outlineLevel="0" collapsed="false">
      <c r="A489" s="31" t="n">
        <v>1121418</v>
      </c>
      <c r="B489" s="31" t="n">
        <v>1178</v>
      </c>
      <c r="C489" s="31" t="n">
        <v>144593</v>
      </c>
      <c r="D489" s="31" t="s">
        <v>58</v>
      </c>
      <c r="E489" s="31" t="s">
        <v>64</v>
      </c>
      <c r="F489" s="31" t="n">
        <v>65</v>
      </c>
      <c r="G489" s="31" t="n">
        <v>192810</v>
      </c>
      <c r="H489" s="31" t="n">
        <v>41</v>
      </c>
      <c r="I489" s="32" t="n">
        <v>61.92999995</v>
      </c>
      <c r="J489" s="31" t="n">
        <v>4</v>
      </c>
      <c r="K489" s="31" t="n">
        <v>3</v>
      </c>
    </row>
    <row r="490" customFormat="false" ht="15" hidden="false" customHeight="false" outlineLevel="0" collapsed="false">
      <c r="A490" s="31" t="n">
        <v>1121421</v>
      </c>
      <c r="B490" s="31" t="n">
        <v>1178</v>
      </c>
      <c r="C490" s="31" t="n">
        <v>144594</v>
      </c>
      <c r="D490" s="31" t="s">
        <v>58</v>
      </c>
      <c r="E490" s="31" t="s">
        <v>64</v>
      </c>
      <c r="F490" s="31" t="n">
        <v>2</v>
      </c>
      <c r="G490" s="31" t="n">
        <v>233404</v>
      </c>
      <c r="H490" s="31" t="n">
        <v>43</v>
      </c>
      <c r="I490" s="32" t="n">
        <v>70.4100008</v>
      </c>
      <c r="J490" s="31" t="n">
        <v>2</v>
      </c>
      <c r="K490" s="31" t="n">
        <v>1</v>
      </c>
    </row>
    <row r="491" customFormat="false" ht="15" hidden="false" customHeight="false" outlineLevel="0" collapsed="false">
      <c r="A491" s="31" t="n">
        <v>1121422</v>
      </c>
      <c r="B491" s="31" t="n">
        <v>1178</v>
      </c>
      <c r="C491" s="31" t="n">
        <v>144594</v>
      </c>
      <c r="D491" s="31" t="s">
        <v>58</v>
      </c>
      <c r="E491" s="31" t="s">
        <v>64</v>
      </c>
      <c r="F491" s="31" t="n">
        <v>2</v>
      </c>
      <c r="G491" s="31" t="n">
        <v>128843</v>
      </c>
      <c r="H491" s="31" t="n">
        <v>24</v>
      </c>
      <c r="I491" s="32" t="n">
        <v>37.5999999</v>
      </c>
      <c r="J491" s="31" t="n">
        <v>2</v>
      </c>
      <c r="K491" s="31" t="n">
        <v>0</v>
      </c>
    </row>
    <row r="492" customFormat="false" ht="15" hidden="false" customHeight="false" outlineLevel="0" collapsed="false">
      <c r="A492" s="31" t="n">
        <v>1121423</v>
      </c>
      <c r="B492" s="31" t="n">
        <v>1178</v>
      </c>
      <c r="C492" s="31" t="n">
        <v>144594</v>
      </c>
      <c r="D492" s="31" t="s">
        <v>58</v>
      </c>
      <c r="E492" s="31" t="s">
        <v>64</v>
      </c>
      <c r="F492" s="31" t="n">
        <v>2</v>
      </c>
      <c r="G492" s="31" t="n">
        <v>63564</v>
      </c>
      <c r="H492" s="31" t="n">
        <v>12</v>
      </c>
      <c r="I492" s="32" t="n">
        <v>20.59000027</v>
      </c>
      <c r="J492" s="31" t="n">
        <v>2</v>
      </c>
      <c r="K492" s="31" t="n">
        <v>0</v>
      </c>
    </row>
    <row r="493" customFormat="false" ht="15" hidden="false" customHeight="false" outlineLevel="0" collapsed="false">
      <c r="A493" s="31" t="n">
        <v>1121425</v>
      </c>
      <c r="B493" s="31" t="n">
        <v>1178</v>
      </c>
      <c r="C493" s="31" t="n">
        <v>144594</v>
      </c>
      <c r="D493" s="31" t="s">
        <v>58</v>
      </c>
      <c r="E493" s="31" t="s">
        <v>64</v>
      </c>
      <c r="F493" s="31" t="n">
        <v>2</v>
      </c>
      <c r="G493" s="31" t="n">
        <v>85970</v>
      </c>
      <c r="H493" s="31" t="n">
        <v>14</v>
      </c>
      <c r="I493" s="32" t="n">
        <v>24.78000021</v>
      </c>
      <c r="J493" s="31" t="n">
        <v>1</v>
      </c>
      <c r="K493" s="31" t="n">
        <v>1</v>
      </c>
    </row>
    <row r="494" customFormat="false" ht="15" hidden="false" customHeight="false" outlineLevel="0" collapsed="false">
      <c r="A494" s="31" t="n">
        <v>1121428</v>
      </c>
      <c r="B494" s="31" t="n">
        <v>1178</v>
      </c>
      <c r="C494" s="31" t="n">
        <v>144595</v>
      </c>
      <c r="D494" s="31" t="s">
        <v>58</v>
      </c>
      <c r="E494" s="31" t="s">
        <v>64</v>
      </c>
      <c r="F494" s="31" t="n">
        <v>7</v>
      </c>
      <c r="G494" s="31" t="n">
        <v>131232</v>
      </c>
      <c r="H494" s="31" t="n">
        <v>16</v>
      </c>
      <c r="I494" s="32" t="n">
        <v>29.53999937</v>
      </c>
      <c r="J494" s="31" t="n">
        <v>1</v>
      </c>
      <c r="K494" s="31" t="n">
        <v>1</v>
      </c>
    </row>
    <row r="495" customFormat="false" ht="15" hidden="false" customHeight="false" outlineLevel="0" collapsed="false">
      <c r="A495" s="31" t="n">
        <v>1121429</v>
      </c>
      <c r="B495" s="31" t="n">
        <v>1178</v>
      </c>
      <c r="C495" s="31" t="n">
        <v>144595</v>
      </c>
      <c r="D495" s="31" t="s">
        <v>58</v>
      </c>
      <c r="E495" s="31" t="s">
        <v>64</v>
      </c>
      <c r="F495" s="31" t="n">
        <v>7</v>
      </c>
      <c r="G495" s="31" t="n">
        <v>152454</v>
      </c>
      <c r="H495" s="31" t="n">
        <v>22</v>
      </c>
      <c r="I495" s="32" t="n">
        <v>37.84999979</v>
      </c>
      <c r="J495" s="31" t="n">
        <v>1</v>
      </c>
      <c r="K495" s="31" t="n">
        <v>1</v>
      </c>
    </row>
    <row r="496" customFormat="false" ht="15" hidden="false" customHeight="false" outlineLevel="0" collapsed="false">
      <c r="A496" s="31" t="n">
        <v>1121430</v>
      </c>
      <c r="B496" s="31" t="n">
        <v>1178</v>
      </c>
      <c r="C496" s="31" t="n">
        <v>144595</v>
      </c>
      <c r="D496" s="31" t="s">
        <v>58</v>
      </c>
      <c r="E496" s="31" t="s">
        <v>64</v>
      </c>
      <c r="F496" s="31" t="n">
        <v>7</v>
      </c>
      <c r="G496" s="31" t="n">
        <v>28989</v>
      </c>
      <c r="H496" s="31" t="n">
        <v>2</v>
      </c>
      <c r="I496" s="32" t="n">
        <v>2.290000021</v>
      </c>
      <c r="J496" s="31" t="n">
        <v>1</v>
      </c>
      <c r="K496" s="31" t="n">
        <v>0</v>
      </c>
    </row>
    <row r="497" customFormat="false" ht="15" hidden="false" customHeight="false" outlineLevel="0" collapsed="false">
      <c r="A497" s="31" t="n">
        <v>1121433</v>
      </c>
      <c r="B497" s="31" t="n">
        <v>1178</v>
      </c>
      <c r="C497" s="31" t="n">
        <v>144596</v>
      </c>
      <c r="D497" s="31" t="s">
        <v>58</v>
      </c>
      <c r="E497" s="31" t="s">
        <v>64</v>
      </c>
      <c r="F497" s="31" t="n">
        <v>66</v>
      </c>
      <c r="G497" s="31" t="n">
        <v>80248</v>
      </c>
      <c r="H497" s="31" t="n">
        <v>15</v>
      </c>
      <c r="I497" s="32" t="n">
        <v>24.1900003</v>
      </c>
      <c r="J497" s="31" t="n">
        <v>1</v>
      </c>
      <c r="K497" s="31" t="n">
        <v>1</v>
      </c>
    </row>
    <row r="498" customFormat="false" ht="15" hidden="false" customHeight="false" outlineLevel="0" collapsed="false">
      <c r="A498" s="31" t="n">
        <v>1121437</v>
      </c>
      <c r="B498" s="31" t="n">
        <v>1178</v>
      </c>
      <c r="C498" s="31" t="n">
        <v>144596</v>
      </c>
      <c r="D498" s="31" t="s">
        <v>58</v>
      </c>
      <c r="E498" s="31" t="s">
        <v>64</v>
      </c>
      <c r="F498" s="31" t="n">
        <v>66</v>
      </c>
      <c r="G498" s="31" t="n">
        <v>38580</v>
      </c>
      <c r="H498" s="31" t="n">
        <v>5</v>
      </c>
      <c r="I498" s="32" t="n">
        <v>8.519999981</v>
      </c>
      <c r="J498" s="31" t="n">
        <v>1</v>
      </c>
      <c r="K498" s="31" t="n">
        <v>0</v>
      </c>
    </row>
    <row r="499" customFormat="false" ht="15" hidden="false" customHeight="false" outlineLevel="0" collapsed="false">
      <c r="A499" s="31" t="n">
        <v>1121439</v>
      </c>
      <c r="B499" s="31" t="n">
        <v>1178</v>
      </c>
      <c r="C499" s="31" t="n">
        <v>144597</v>
      </c>
      <c r="D499" s="31" t="s">
        <v>59</v>
      </c>
      <c r="E499" s="31" t="s">
        <v>64</v>
      </c>
      <c r="F499" s="31" t="n">
        <v>10</v>
      </c>
      <c r="G499" s="31" t="n">
        <v>621591</v>
      </c>
      <c r="H499" s="31" t="n">
        <v>91</v>
      </c>
      <c r="I499" s="32" t="n">
        <v>163.36</v>
      </c>
      <c r="J499" s="31" t="n">
        <v>5</v>
      </c>
      <c r="K499" s="31" t="n">
        <v>1</v>
      </c>
    </row>
    <row r="500" customFormat="false" ht="15" hidden="false" customHeight="false" outlineLevel="0" collapsed="false">
      <c r="A500" s="31" t="n">
        <v>1121440</v>
      </c>
      <c r="B500" s="31" t="n">
        <v>1178</v>
      </c>
      <c r="C500" s="31" t="n">
        <v>144597</v>
      </c>
      <c r="D500" s="31" t="s">
        <v>59</v>
      </c>
      <c r="E500" s="31" t="s">
        <v>64</v>
      </c>
      <c r="F500" s="31" t="n">
        <v>10</v>
      </c>
      <c r="G500" s="31" t="n">
        <v>250499</v>
      </c>
      <c r="H500" s="31" t="n">
        <v>36</v>
      </c>
      <c r="I500" s="32" t="n">
        <v>58.14000005</v>
      </c>
      <c r="J500" s="31" t="n">
        <v>3</v>
      </c>
      <c r="K500" s="31" t="n">
        <v>1</v>
      </c>
    </row>
    <row r="501" customFormat="false" ht="15" hidden="false" customHeight="false" outlineLevel="0" collapsed="false">
      <c r="A501" s="31" t="n">
        <v>1121442</v>
      </c>
      <c r="B501" s="31" t="n">
        <v>1178</v>
      </c>
      <c r="C501" s="31" t="n">
        <v>144597</v>
      </c>
      <c r="D501" s="31" t="s">
        <v>59</v>
      </c>
      <c r="E501" s="31" t="s">
        <v>64</v>
      </c>
      <c r="F501" s="31" t="n">
        <v>10</v>
      </c>
      <c r="G501" s="31" t="n">
        <v>131637</v>
      </c>
      <c r="H501" s="31" t="n">
        <v>18</v>
      </c>
      <c r="I501" s="32" t="n">
        <v>29.30999982</v>
      </c>
      <c r="J501" s="31" t="n">
        <v>2</v>
      </c>
      <c r="K501" s="31" t="n">
        <v>1</v>
      </c>
    </row>
    <row r="502" customFormat="false" ht="15" hidden="false" customHeight="false" outlineLevel="0" collapsed="false">
      <c r="A502" s="31" t="n">
        <v>1121443</v>
      </c>
      <c r="B502" s="31" t="n">
        <v>1178</v>
      </c>
      <c r="C502" s="31" t="n">
        <v>144597</v>
      </c>
      <c r="D502" s="31" t="s">
        <v>59</v>
      </c>
      <c r="E502" s="31" t="s">
        <v>64</v>
      </c>
      <c r="F502" s="31" t="n">
        <v>10</v>
      </c>
      <c r="G502" s="31" t="n">
        <v>463813</v>
      </c>
      <c r="H502" s="31" t="n">
        <v>69</v>
      </c>
      <c r="I502" s="32" t="n">
        <v>116.3399996</v>
      </c>
      <c r="J502" s="31" t="n">
        <v>4</v>
      </c>
      <c r="K502" s="31" t="n">
        <v>2</v>
      </c>
    </row>
    <row r="503" customFormat="false" ht="15" hidden="false" customHeight="false" outlineLevel="0" collapsed="false">
      <c r="A503" s="31" t="n">
        <v>1121444</v>
      </c>
      <c r="B503" s="31" t="n">
        <v>1178</v>
      </c>
      <c r="C503" s="31" t="n">
        <v>144597</v>
      </c>
      <c r="D503" s="31" t="s">
        <v>59</v>
      </c>
      <c r="E503" s="31" t="s">
        <v>64</v>
      </c>
      <c r="F503" s="31" t="n">
        <v>10</v>
      </c>
      <c r="G503" s="31" t="n">
        <v>211767</v>
      </c>
      <c r="H503" s="31" t="n">
        <v>35</v>
      </c>
      <c r="I503" s="32" t="n">
        <v>60.89999914</v>
      </c>
      <c r="J503" s="31" t="n">
        <v>5</v>
      </c>
      <c r="K503" s="31" t="n">
        <v>1</v>
      </c>
    </row>
    <row r="504" customFormat="false" ht="15" hidden="false" customHeight="false" outlineLevel="0" collapsed="false">
      <c r="A504" s="31" t="n">
        <v>1121446</v>
      </c>
      <c r="B504" s="31" t="n">
        <v>1178</v>
      </c>
      <c r="C504" s="31" t="n">
        <v>144598</v>
      </c>
      <c r="D504" s="31" t="s">
        <v>59</v>
      </c>
      <c r="E504" s="31" t="s">
        <v>64</v>
      </c>
      <c r="F504" s="31" t="n">
        <v>15</v>
      </c>
      <c r="G504" s="31" t="n">
        <v>163181</v>
      </c>
      <c r="H504" s="31" t="n">
        <v>26</v>
      </c>
      <c r="I504" s="32" t="n">
        <v>40.02000093</v>
      </c>
      <c r="J504" s="31" t="n">
        <v>1</v>
      </c>
      <c r="K504" s="31" t="n">
        <v>1</v>
      </c>
    </row>
    <row r="505" customFormat="false" ht="15" hidden="false" customHeight="false" outlineLevel="0" collapsed="false">
      <c r="A505" s="31" t="n">
        <v>1121451</v>
      </c>
      <c r="B505" s="31" t="n">
        <v>1178</v>
      </c>
      <c r="C505" s="31" t="n">
        <v>144599</v>
      </c>
      <c r="D505" s="31" t="s">
        <v>59</v>
      </c>
      <c r="E505" s="31" t="s">
        <v>64</v>
      </c>
      <c r="F505" s="31" t="n">
        <v>16</v>
      </c>
      <c r="G505" s="31" t="n">
        <v>1117385</v>
      </c>
      <c r="H505" s="31" t="n">
        <v>147</v>
      </c>
      <c r="I505" s="32" t="n">
        <v>260.0699984</v>
      </c>
      <c r="J505" s="31" t="n">
        <v>11</v>
      </c>
      <c r="K505" s="31" t="n">
        <v>2</v>
      </c>
    </row>
    <row r="506" customFormat="false" ht="15" hidden="false" customHeight="false" outlineLevel="0" collapsed="false">
      <c r="A506" s="31" t="n">
        <v>1121452</v>
      </c>
      <c r="B506" s="31" t="n">
        <v>1178</v>
      </c>
      <c r="C506" s="31" t="n">
        <v>144599</v>
      </c>
      <c r="D506" s="31" t="s">
        <v>59</v>
      </c>
      <c r="E506" s="31" t="s">
        <v>64</v>
      </c>
      <c r="F506" s="31" t="n">
        <v>16</v>
      </c>
      <c r="G506" s="31" t="n">
        <v>1663441</v>
      </c>
      <c r="H506" s="31" t="n">
        <v>205</v>
      </c>
      <c r="I506" s="32" t="n">
        <v>359.4700001</v>
      </c>
      <c r="J506" s="31" t="n">
        <v>17</v>
      </c>
      <c r="K506" s="31" t="n">
        <v>6</v>
      </c>
    </row>
    <row r="507" customFormat="false" ht="15" hidden="false" customHeight="false" outlineLevel="0" collapsed="false">
      <c r="A507" s="31" t="n">
        <v>1121453</v>
      </c>
      <c r="B507" s="31" t="n">
        <v>1178</v>
      </c>
      <c r="C507" s="31" t="n">
        <v>144599</v>
      </c>
      <c r="D507" s="31" t="s">
        <v>59</v>
      </c>
      <c r="E507" s="31" t="s">
        <v>64</v>
      </c>
      <c r="F507" s="31" t="n">
        <v>16</v>
      </c>
      <c r="G507" s="31" t="n">
        <v>455248</v>
      </c>
      <c r="H507" s="31" t="n">
        <v>54</v>
      </c>
      <c r="I507" s="32" t="n">
        <v>105.7099996</v>
      </c>
      <c r="J507" s="31" t="n">
        <v>5</v>
      </c>
      <c r="K507" s="31" t="n">
        <v>2</v>
      </c>
    </row>
    <row r="508" customFormat="false" ht="15" hidden="false" customHeight="false" outlineLevel="0" collapsed="false">
      <c r="A508" s="31" t="n">
        <v>1121454</v>
      </c>
      <c r="B508" s="31" t="n">
        <v>1178</v>
      </c>
      <c r="C508" s="31" t="n">
        <v>144599</v>
      </c>
      <c r="D508" s="31" t="s">
        <v>59</v>
      </c>
      <c r="E508" s="31" t="s">
        <v>64</v>
      </c>
      <c r="F508" s="31" t="n">
        <v>16</v>
      </c>
      <c r="G508" s="31" t="n">
        <v>75589</v>
      </c>
      <c r="H508" s="31" t="n">
        <v>6</v>
      </c>
      <c r="I508" s="32" t="n">
        <v>10.66000009</v>
      </c>
      <c r="J508" s="31" t="n">
        <v>1</v>
      </c>
      <c r="K508" s="31" t="n">
        <v>1</v>
      </c>
    </row>
    <row r="509" customFormat="false" ht="15" hidden="false" customHeight="false" outlineLevel="0" collapsed="false">
      <c r="A509" s="31" t="n">
        <v>1121455</v>
      </c>
      <c r="B509" s="31" t="n">
        <v>1178</v>
      </c>
      <c r="C509" s="31" t="n">
        <v>144599</v>
      </c>
      <c r="D509" s="31" t="s">
        <v>59</v>
      </c>
      <c r="E509" s="31" t="s">
        <v>64</v>
      </c>
      <c r="F509" s="31" t="n">
        <v>16</v>
      </c>
      <c r="G509" s="31" t="n">
        <v>594267</v>
      </c>
      <c r="H509" s="31" t="n">
        <v>82</v>
      </c>
      <c r="I509" s="32" t="n">
        <v>143.3000009</v>
      </c>
      <c r="J509" s="31" t="n">
        <v>3</v>
      </c>
      <c r="K509" s="31" t="n">
        <v>2</v>
      </c>
    </row>
    <row r="510" customFormat="false" ht="15" hidden="false" customHeight="false" outlineLevel="0" collapsed="false">
      <c r="A510" s="31" t="n">
        <v>1121456</v>
      </c>
      <c r="B510" s="31" t="n">
        <v>1178</v>
      </c>
      <c r="C510" s="31" t="n">
        <v>144599</v>
      </c>
      <c r="D510" s="31" t="s">
        <v>59</v>
      </c>
      <c r="E510" s="31" t="s">
        <v>64</v>
      </c>
      <c r="F510" s="31" t="n">
        <v>16</v>
      </c>
      <c r="G510" s="31" t="n">
        <v>315281</v>
      </c>
      <c r="H510" s="31" t="n">
        <v>35</v>
      </c>
      <c r="I510" s="32" t="n">
        <v>65.02999854</v>
      </c>
      <c r="J510" s="31" t="n">
        <v>1</v>
      </c>
      <c r="K510" s="31" t="n">
        <v>0</v>
      </c>
    </row>
    <row r="511" customFormat="false" ht="15" hidden="false" customHeight="false" outlineLevel="0" collapsed="false">
      <c r="A511" s="31" t="n">
        <v>1121464</v>
      </c>
      <c r="B511" s="31" t="n">
        <v>1178</v>
      </c>
      <c r="C511" s="31" t="n">
        <v>144601</v>
      </c>
      <c r="D511" s="31" t="s">
        <v>59</v>
      </c>
      <c r="E511" s="31" t="s">
        <v>64</v>
      </c>
      <c r="F511" s="31" t="n">
        <v>19</v>
      </c>
      <c r="G511" s="31" t="n">
        <v>363456</v>
      </c>
      <c r="H511" s="31" t="n">
        <v>71</v>
      </c>
      <c r="I511" s="32" t="n">
        <v>117.5599997</v>
      </c>
      <c r="J511" s="31" t="n">
        <v>7</v>
      </c>
      <c r="K511" s="31" t="n">
        <v>1</v>
      </c>
    </row>
    <row r="512" customFormat="false" ht="15" hidden="false" customHeight="false" outlineLevel="0" collapsed="false">
      <c r="A512" s="31" t="n">
        <v>1121466</v>
      </c>
      <c r="B512" s="31" t="n">
        <v>1178</v>
      </c>
      <c r="C512" s="31" t="n">
        <v>144601</v>
      </c>
      <c r="D512" s="31" t="s">
        <v>59</v>
      </c>
      <c r="E512" s="31" t="s">
        <v>64</v>
      </c>
      <c r="F512" s="31" t="n">
        <v>19</v>
      </c>
      <c r="G512" s="31" t="n">
        <v>438983</v>
      </c>
      <c r="H512" s="31" t="n">
        <v>81</v>
      </c>
      <c r="I512" s="32" t="n">
        <v>143.4300001</v>
      </c>
      <c r="J512" s="31" t="n">
        <v>3</v>
      </c>
      <c r="K512" s="31" t="n">
        <v>1</v>
      </c>
    </row>
    <row r="513" customFormat="false" ht="15" hidden="false" customHeight="false" outlineLevel="0" collapsed="false">
      <c r="A513" s="31" t="n">
        <v>1121467</v>
      </c>
      <c r="B513" s="31" t="n">
        <v>1178</v>
      </c>
      <c r="C513" s="31" t="n">
        <v>144601</v>
      </c>
      <c r="D513" s="31" t="s">
        <v>59</v>
      </c>
      <c r="E513" s="31" t="s">
        <v>64</v>
      </c>
      <c r="F513" s="31" t="n">
        <v>19</v>
      </c>
      <c r="G513" s="31" t="n">
        <v>42563</v>
      </c>
      <c r="H513" s="31" t="n">
        <v>5</v>
      </c>
      <c r="I513" s="32" t="n">
        <v>9.659999847</v>
      </c>
      <c r="J513" s="31" t="n">
        <v>1</v>
      </c>
      <c r="K513" s="31" t="n">
        <v>1</v>
      </c>
    </row>
    <row r="514" customFormat="false" ht="15" hidden="false" customHeight="false" outlineLevel="0" collapsed="false">
      <c r="A514" s="31" t="n">
        <v>1121469</v>
      </c>
      <c r="B514" s="31" t="n">
        <v>1178</v>
      </c>
      <c r="C514" s="31" t="n">
        <v>144602</v>
      </c>
      <c r="D514" s="31" t="s">
        <v>59</v>
      </c>
      <c r="E514" s="31" t="s">
        <v>64</v>
      </c>
      <c r="F514" s="31" t="n">
        <v>20</v>
      </c>
      <c r="G514" s="31" t="n">
        <v>399035</v>
      </c>
      <c r="H514" s="31" t="n">
        <v>75</v>
      </c>
      <c r="I514" s="32" t="n">
        <v>124.7999995</v>
      </c>
      <c r="J514" s="31" t="n">
        <v>7</v>
      </c>
      <c r="K514" s="31" t="n">
        <v>3</v>
      </c>
    </row>
    <row r="515" customFormat="false" ht="15" hidden="false" customHeight="false" outlineLevel="0" collapsed="false">
      <c r="A515" s="31" t="n">
        <v>1121471</v>
      </c>
      <c r="B515" s="31" t="n">
        <v>1178</v>
      </c>
      <c r="C515" s="31" t="n">
        <v>144602</v>
      </c>
      <c r="D515" s="31" t="s">
        <v>59</v>
      </c>
      <c r="E515" s="31" t="s">
        <v>64</v>
      </c>
      <c r="F515" s="31" t="n">
        <v>20</v>
      </c>
      <c r="G515" s="31" t="n">
        <v>304680</v>
      </c>
      <c r="H515" s="31" t="n">
        <v>59</v>
      </c>
      <c r="I515" s="32" t="n">
        <v>98.55000019</v>
      </c>
      <c r="J515" s="31" t="n">
        <v>3</v>
      </c>
      <c r="K515" s="31" t="n">
        <v>0</v>
      </c>
    </row>
    <row r="516" customFormat="false" ht="15" hidden="false" customHeight="false" outlineLevel="0" collapsed="false">
      <c r="A516" s="31" t="n">
        <v>1121472</v>
      </c>
      <c r="B516" s="31" t="n">
        <v>1178</v>
      </c>
      <c r="C516" s="31" t="n">
        <v>144602</v>
      </c>
      <c r="D516" s="31" t="s">
        <v>59</v>
      </c>
      <c r="E516" s="31" t="s">
        <v>64</v>
      </c>
      <c r="F516" s="31" t="n">
        <v>20</v>
      </c>
      <c r="G516" s="31" t="n">
        <v>140596</v>
      </c>
      <c r="H516" s="31" t="n">
        <v>23</v>
      </c>
      <c r="I516" s="32" t="n">
        <v>40.77000022</v>
      </c>
      <c r="J516" s="31" t="n">
        <v>1</v>
      </c>
      <c r="K516" s="31" t="n">
        <v>0</v>
      </c>
    </row>
    <row r="517" customFormat="false" ht="15" hidden="false" customHeight="false" outlineLevel="0" collapsed="false">
      <c r="A517" s="31" t="n">
        <v>1121473</v>
      </c>
      <c r="B517" s="31" t="n">
        <v>1178</v>
      </c>
      <c r="C517" s="31" t="n">
        <v>144602</v>
      </c>
      <c r="D517" s="31" t="s">
        <v>59</v>
      </c>
      <c r="E517" s="31" t="s">
        <v>64</v>
      </c>
      <c r="F517" s="31" t="n">
        <v>20</v>
      </c>
      <c r="G517" s="31" t="n">
        <v>439986</v>
      </c>
      <c r="H517" s="31" t="n">
        <v>80</v>
      </c>
      <c r="I517" s="32" t="n">
        <v>134.8799999</v>
      </c>
      <c r="J517" s="31" t="n">
        <v>4</v>
      </c>
      <c r="K517" s="31" t="n">
        <v>3</v>
      </c>
    </row>
    <row r="518" customFormat="false" ht="15" hidden="false" customHeight="false" outlineLevel="0" collapsed="false">
      <c r="A518" s="31" t="n">
        <v>1121474</v>
      </c>
      <c r="B518" s="31" t="n">
        <v>1178</v>
      </c>
      <c r="C518" s="31" t="n">
        <v>144602</v>
      </c>
      <c r="D518" s="31" t="s">
        <v>59</v>
      </c>
      <c r="E518" s="31" t="s">
        <v>64</v>
      </c>
      <c r="F518" s="31" t="n">
        <v>20</v>
      </c>
      <c r="G518" s="31" t="n">
        <v>75803</v>
      </c>
      <c r="H518" s="31" t="n">
        <v>11</v>
      </c>
      <c r="I518" s="32" t="n">
        <v>19.3599999</v>
      </c>
      <c r="J518" s="31" t="n">
        <v>2</v>
      </c>
      <c r="K518" s="31" t="n">
        <v>2</v>
      </c>
    </row>
    <row r="519" customFormat="false" ht="15" hidden="false" customHeight="false" outlineLevel="0" collapsed="false">
      <c r="A519" s="31" t="n">
        <v>1121481</v>
      </c>
      <c r="B519" s="31" t="n">
        <v>1178</v>
      </c>
      <c r="C519" s="31" t="n">
        <v>144604</v>
      </c>
      <c r="D519" s="31" t="s">
        <v>59</v>
      </c>
      <c r="E519" s="31" t="s">
        <v>64</v>
      </c>
      <c r="F519" s="31" t="n">
        <v>22</v>
      </c>
      <c r="G519" s="31" t="n">
        <v>153586</v>
      </c>
      <c r="H519" s="31" t="n">
        <v>28</v>
      </c>
      <c r="I519" s="32" t="n">
        <v>43.01000035</v>
      </c>
      <c r="J519" s="31" t="n">
        <v>2</v>
      </c>
      <c r="K519" s="31" t="n">
        <v>0</v>
      </c>
    </row>
    <row r="520" customFormat="false" ht="15" hidden="false" customHeight="false" outlineLevel="0" collapsed="false">
      <c r="A520" s="31" t="n">
        <v>1121482</v>
      </c>
      <c r="B520" s="31" t="n">
        <v>1178</v>
      </c>
      <c r="C520" s="31" t="n">
        <v>144604</v>
      </c>
      <c r="D520" s="31" t="s">
        <v>59</v>
      </c>
      <c r="E520" s="31" t="s">
        <v>64</v>
      </c>
      <c r="F520" s="31" t="n">
        <v>22</v>
      </c>
      <c r="G520" s="31" t="n">
        <v>180815</v>
      </c>
      <c r="H520" s="31" t="n">
        <v>31</v>
      </c>
      <c r="I520" s="32" t="n">
        <v>42.62999976</v>
      </c>
      <c r="J520" s="31" t="n">
        <v>1</v>
      </c>
      <c r="K520" s="31" t="n">
        <v>0</v>
      </c>
    </row>
    <row r="521" customFormat="false" ht="15" hidden="false" customHeight="false" outlineLevel="0" collapsed="false">
      <c r="A521" s="31" t="n">
        <v>1121483</v>
      </c>
      <c r="B521" s="31" t="n">
        <v>1178</v>
      </c>
      <c r="C521" s="31" t="n">
        <v>144604</v>
      </c>
      <c r="D521" s="31" t="s">
        <v>59</v>
      </c>
      <c r="E521" s="31" t="s">
        <v>64</v>
      </c>
      <c r="F521" s="31" t="n">
        <v>22</v>
      </c>
      <c r="G521" s="31" t="n">
        <v>253169</v>
      </c>
      <c r="H521" s="31" t="n">
        <v>51</v>
      </c>
      <c r="I521" s="32" t="n">
        <v>75.78999984</v>
      </c>
      <c r="J521" s="31" t="n">
        <v>1</v>
      </c>
      <c r="K521" s="31" t="n">
        <v>0</v>
      </c>
    </row>
    <row r="522" customFormat="false" ht="15" hidden="false" customHeight="false" outlineLevel="0" collapsed="false">
      <c r="A522" s="31" t="n">
        <v>1121484</v>
      </c>
      <c r="B522" s="31" t="n">
        <v>1178</v>
      </c>
      <c r="C522" s="31" t="n">
        <v>144604</v>
      </c>
      <c r="D522" s="31" t="s">
        <v>59</v>
      </c>
      <c r="E522" s="31" t="s">
        <v>64</v>
      </c>
      <c r="F522" s="31" t="n">
        <v>22</v>
      </c>
      <c r="G522" s="31" t="n">
        <v>34453</v>
      </c>
      <c r="H522" s="31" t="n">
        <v>5</v>
      </c>
      <c r="I522" s="32" t="n">
        <v>7.710000038</v>
      </c>
      <c r="J522" s="31" t="n">
        <v>1</v>
      </c>
      <c r="K522" s="31" t="n">
        <v>1</v>
      </c>
    </row>
    <row r="523" customFormat="false" ht="15" hidden="false" customHeight="false" outlineLevel="0" collapsed="false">
      <c r="A523" s="31" t="n">
        <v>1121487</v>
      </c>
      <c r="B523" s="31" t="n">
        <v>1178</v>
      </c>
      <c r="C523" s="31" t="n">
        <v>144605</v>
      </c>
      <c r="D523" s="31" t="s">
        <v>59</v>
      </c>
      <c r="E523" s="31" t="s">
        <v>64</v>
      </c>
      <c r="F523" s="31" t="n">
        <v>23</v>
      </c>
      <c r="G523" s="31" t="n">
        <v>51550</v>
      </c>
      <c r="H523" s="31" t="n">
        <v>8</v>
      </c>
      <c r="I523" s="32" t="n">
        <v>14.03999984</v>
      </c>
      <c r="J523" s="31" t="n">
        <v>1</v>
      </c>
      <c r="K523" s="31" t="n">
        <v>0</v>
      </c>
    </row>
    <row r="524" customFormat="false" ht="15" hidden="false" customHeight="false" outlineLevel="0" collapsed="false">
      <c r="A524" s="31" t="n">
        <v>1121489</v>
      </c>
      <c r="B524" s="31" t="n">
        <v>1178</v>
      </c>
      <c r="C524" s="31" t="n">
        <v>144605</v>
      </c>
      <c r="D524" s="31" t="s">
        <v>59</v>
      </c>
      <c r="E524" s="31" t="s">
        <v>64</v>
      </c>
      <c r="F524" s="31" t="n">
        <v>23</v>
      </c>
      <c r="G524" s="31" t="n">
        <v>110018</v>
      </c>
      <c r="H524" s="31" t="n">
        <v>24</v>
      </c>
      <c r="I524" s="32" t="n">
        <v>39.85999966</v>
      </c>
      <c r="J524" s="31" t="n">
        <v>1</v>
      </c>
      <c r="K524" s="31" t="n">
        <v>0</v>
      </c>
    </row>
    <row r="525" customFormat="false" ht="15" hidden="false" customHeight="false" outlineLevel="0" collapsed="false">
      <c r="A525" s="31" t="n">
        <v>1121493</v>
      </c>
      <c r="B525" s="31" t="n">
        <v>1178</v>
      </c>
      <c r="C525" s="31" t="n">
        <v>144606</v>
      </c>
      <c r="D525" s="31" t="s">
        <v>59</v>
      </c>
      <c r="E525" s="31" t="s">
        <v>64</v>
      </c>
      <c r="F525" s="31" t="n">
        <v>24</v>
      </c>
      <c r="G525" s="31" t="n">
        <v>137584</v>
      </c>
      <c r="H525" s="31" t="n">
        <v>21</v>
      </c>
      <c r="I525" s="32" t="n">
        <v>36.77999961</v>
      </c>
      <c r="J525" s="31" t="n">
        <v>1</v>
      </c>
      <c r="K525" s="31" t="n">
        <v>0</v>
      </c>
    </row>
    <row r="526" customFormat="false" ht="15" hidden="false" customHeight="false" outlineLevel="0" collapsed="false">
      <c r="A526" s="31" t="n">
        <v>1121497</v>
      </c>
      <c r="B526" s="31" t="n">
        <v>1178</v>
      </c>
      <c r="C526" s="31" t="n">
        <v>144606</v>
      </c>
      <c r="D526" s="31" t="s">
        <v>59</v>
      </c>
      <c r="E526" s="31" t="s">
        <v>64</v>
      </c>
      <c r="F526" s="31" t="n">
        <v>24</v>
      </c>
      <c r="G526" s="31" t="n">
        <v>209825</v>
      </c>
      <c r="H526" s="31" t="n">
        <v>30</v>
      </c>
      <c r="I526" s="32" t="n">
        <v>54.86999953</v>
      </c>
      <c r="J526" s="31" t="n">
        <v>1</v>
      </c>
      <c r="K526" s="31" t="n">
        <v>0</v>
      </c>
    </row>
    <row r="527" customFormat="false" ht="15" hidden="false" customHeight="false" outlineLevel="0" collapsed="false">
      <c r="A527" s="31" t="n">
        <v>1121499</v>
      </c>
      <c r="B527" s="31" t="n">
        <v>1178</v>
      </c>
      <c r="C527" s="31" t="n">
        <v>144607</v>
      </c>
      <c r="D527" s="31" t="s">
        <v>59</v>
      </c>
      <c r="E527" s="31" t="s">
        <v>64</v>
      </c>
      <c r="F527" s="31" t="n">
        <v>25</v>
      </c>
      <c r="G527" s="31" t="n">
        <v>264222</v>
      </c>
      <c r="H527" s="31" t="n">
        <v>63</v>
      </c>
      <c r="I527" s="32" t="n">
        <v>87.7899996</v>
      </c>
      <c r="J527" s="31" t="n">
        <v>1</v>
      </c>
      <c r="K527" s="31" t="n">
        <v>1</v>
      </c>
    </row>
    <row r="528" customFormat="false" ht="15" hidden="false" customHeight="false" outlineLevel="0" collapsed="false">
      <c r="A528" s="31" t="n">
        <v>1121510</v>
      </c>
      <c r="B528" s="31" t="n">
        <v>1178</v>
      </c>
      <c r="C528" s="31" t="n">
        <v>144608</v>
      </c>
      <c r="D528" s="31" t="s">
        <v>59</v>
      </c>
      <c r="E528" s="31" t="s">
        <v>64</v>
      </c>
      <c r="F528" s="31" t="n">
        <v>26</v>
      </c>
      <c r="G528" s="31" t="n">
        <v>31202</v>
      </c>
      <c r="H528" s="31" t="n">
        <v>5</v>
      </c>
      <c r="I528" s="32" t="n">
        <v>6.730000019</v>
      </c>
      <c r="J528" s="31" t="n">
        <v>1</v>
      </c>
      <c r="K528" s="31" t="n">
        <v>0</v>
      </c>
    </row>
    <row r="529" customFormat="false" ht="15" hidden="false" customHeight="false" outlineLevel="0" collapsed="false">
      <c r="A529" s="31" t="n">
        <v>1121511</v>
      </c>
      <c r="B529" s="31" t="n">
        <v>1178</v>
      </c>
      <c r="C529" s="31" t="n">
        <v>144609</v>
      </c>
      <c r="D529" s="31" t="s">
        <v>59</v>
      </c>
      <c r="E529" s="31" t="s">
        <v>64</v>
      </c>
      <c r="F529" s="31" t="n">
        <v>27</v>
      </c>
      <c r="G529" s="31" t="n">
        <v>252991</v>
      </c>
      <c r="H529" s="31" t="n">
        <v>49</v>
      </c>
      <c r="I529" s="32" t="n">
        <v>76.83999932</v>
      </c>
      <c r="J529" s="31" t="n">
        <v>3</v>
      </c>
      <c r="K529" s="31" t="n">
        <v>0</v>
      </c>
    </row>
    <row r="530" customFormat="false" ht="15" hidden="false" customHeight="false" outlineLevel="0" collapsed="false">
      <c r="A530" s="31" t="n">
        <v>1121514</v>
      </c>
      <c r="B530" s="31" t="n">
        <v>1178</v>
      </c>
      <c r="C530" s="31" t="n">
        <v>144609</v>
      </c>
      <c r="D530" s="31" t="s">
        <v>59</v>
      </c>
      <c r="E530" s="31" t="s">
        <v>64</v>
      </c>
      <c r="F530" s="31" t="n">
        <v>27</v>
      </c>
      <c r="G530" s="31" t="n">
        <v>56265</v>
      </c>
      <c r="H530" s="31" t="n">
        <v>9</v>
      </c>
      <c r="I530" s="32" t="n">
        <v>15.53999972</v>
      </c>
      <c r="J530" s="31" t="n">
        <v>1</v>
      </c>
      <c r="K530" s="31" t="n">
        <v>0</v>
      </c>
    </row>
    <row r="531" customFormat="false" ht="15" hidden="false" customHeight="false" outlineLevel="0" collapsed="false">
      <c r="A531" s="31" t="n">
        <v>1121523</v>
      </c>
      <c r="B531" s="31" t="n">
        <v>1178</v>
      </c>
      <c r="C531" s="31" t="n">
        <v>144611</v>
      </c>
      <c r="D531" s="31" t="s">
        <v>59</v>
      </c>
      <c r="E531" s="31" t="s">
        <v>64</v>
      </c>
      <c r="F531" s="31" t="n">
        <v>29</v>
      </c>
      <c r="G531" s="31" t="n">
        <v>76923</v>
      </c>
      <c r="H531" s="31" t="n">
        <v>11</v>
      </c>
      <c r="I531" s="32" t="n">
        <v>17.67000008</v>
      </c>
      <c r="J531" s="31" t="n">
        <v>2</v>
      </c>
      <c r="K531" s="31" t="n">
        <v>2</v>
      </c>
    </row>
    <row r="532" customFormat="false" ht="15" hidden="false" customHeight="false" outlineLevel="0" collapsed="false">
      <c r="A532" s="31" t="n">
        <v>1121524</v>
      </c>
      <c r="B532" s="31" t="n">
        <v>1178</v>
      </c>
      <c r="C532" s="31" t="n">
        <v>144611</v>
      </c>
      <c r="D532" s="31" t="s">
        <v>59</v>
      </c>
      <c r="E532" s="31" t="s">
        <v>64</v>
      </c>
      <c r="F532" s="31" t="n">
        <v>29</v>
      </c>
      <c r="G532" s="31" t="n">
        <v>209332</v>
      </c>
      <c r="H532" s="31" t="n">
        <v>30</v>
      </c>
      <c r="I532" s="32" t="n">
        <v>49.60000014</v>
      </c>
      <c r="J532" s="31" t="n">
        <v>3</v>
      </c>
      <c r="K532" s="31" t="n">
        <v>1</v>
      </c>
    </row>
    <row r="533" customFormat="false" ht="15" hidden="false" customHeight="false" outlineLevel="0" collapsed="false">
      <c r="A533" s="31" t="n">
        <v>1121525</v>
      </c>
      <c r="B533" s="31" t="n">
        <v>1178</v>
      </c>
      <c r="C533" s="31" t="n">
        <v>144611</v>
      </c>
      <c r="D533" s="31" t="s">
        <v>59</v>
      </c>
      <c r="E533" s="31" t="s">
        <v>64</v>
      </c>
      <c r="F533" s="31" t="n">
        <v>29</v>
      </c>
      <c r="G533" s="31" t="n">
        <v>214094</v>
      </c>
      <c r="H533" s="31" t="n">
        <v>31</v>
      </c>
      <c r="I533" s="32" t="n">
        <v>53.26999903</v>
      </c>
      <c r="J533" s="31" t="n">
        <v>1</v>
      </c>
      <c r="K533" s="31" t="n">
        <v>0</v>
      </c>
    </row>
    <row r="534" customFormat="false" ht="15" hidden="false" customHeight="false" outlineLevel="0" collapsed="false">
      <c r="A534" s="31" t="n">
        <v>1121526</v>
      </c>
      <c r="B534" s="31" t="n">
        <v>1178</v>
      </c>
      <c r="C534" s="31" t="n">
        <v>144611</v>
      </c>
      <c r="D534" s="31" t="s">
        <v>59</v>
      </c>
      <c r="E534" s="31" t="s">
        <v>64</v>
      </c>
      <c r="F534" s="31" t="n">
        <v>29</v>
      </c>
      <c r="G534" s="31" t="n">
        <v>526209</v>
      </c>
      <c r="H534" s="31" t="n">
        <v>85</v>
      </c>
      <c r="I534" s="32" t="n">
        <v>126.9299996</v>
      </c>
      <c r="J534" s="31" t="n">
        <v>3</v>
      </c>
      <c r="K534" s="31" t="n">
        <v>2</v>
      </c>
    </row>
    <row r="535" customFormat="false" ht="15" hidden="false" customHeight="false" outlineLevel="0" collapsed="false">
      <c r="A535" s="31" t="n">
        <v>1121527</v>
      </c>
      <c r="B535" s="31" t="n">
        <v>1178</v>
      </c>
      <c r="C535" s="31" t="n">
        <v>144611</v>
      </c>
      <c r="D535" s="31" t="s">
        <v>59</v>
      </c>
      <c r="E535" s="31" t="s">
        <v>64</v>
      </c>
      <c r="F535" s="31" t="n">
        <v>29</v>
      </c>
      <c r="G535" s="31" t="n">
        <v>741143</v>
      </c>
      <c r="H535" s="31" t="n">
        <v>120</v>
      </c>
      <c r="I535" s="32" t="n">
        <v>179.620001</v>
      </c>
      <c r="J535" s="31" t="n">
        <v>4</v>
      </c>
      <c r="K535" s="31" t="n">
        <v>1</v>
      </c>
    </row>
    <row r="536" customFormat="false" ht="15" hidden="false" customHeight="false" outlineLevel="0" collapsed="false">
      <c r="A536" s="31" t="n">
        <v>1121528</v>
      </c>
      <c r="B536" s="31" t="n">
        <v>1178</v>
      </c>
      <c r="C536" s="31" t="n">
        <v>144611</v>
      </c>
      <c r="D536" s="31" t="s">
        <v>59</v>
      </c>
      <c r="E536" s="31" t="s">
        <v>64</v>
      </c>
      <c r="F536" s="31" t="n">
        <v>29</v>
      </c>
      <c r="G536" s="31" t="n">
        <v>172827</v>
      </c>
      <c r="H536" s="31" t="n">
        <v>25</v>
      </c>
      <c r="I536" s="32" t="n">
        <v>38.42000043</v>
      </c>
      <c r="J536" s="31" t="n">
        <v>2</v>
      </c>
      <c r="K536" s="31" t="n">
        <v>0</v>
      </c>
    </row>
    <row r="537" customFormat="false" ht="15" hidden="false" customHeight="false" outlineLevel="0" collapsed="false">
      <c r="A537" s="31" t="n">
        <v>1121530</v>
      </c>
      <c r="B537" s="31" t="n">
        <v>1178</v>
      </c>
      <c r="C537" s="31" t="n">
        <v>144612</v>
      </c>
      <c r="D537" s="31" t="s">
        <v>59</v>
      </c>
      <c r="E537" s="31" t="s">
        <v>64</v>
      </c>
      <c r="F537" s="31" t="n">
        <v>30</v>
      </c>
      <c r="G537" s="31" t="n">
        <v>188873</v>
      </c>
      <c r="H537" s="31" t="n">
        <v>38</v>
      </c>
      <c r="I537" s="32" t="n">
        <v>58.5999999</v>
      </c>
      <c r="J537" s="31" t="n">
        <v>1</v>
      </c>
      <c r="K537" s="31" t="n">
        <v>1</v>
      </c>
    </row>
    <row r="538" customFormat="false" ht="15" hidden="false" customHeight="false" outlineLevel="0" collapsed="false">
      <c r="A538" s="31" t="n">
        <v>1121532</v>
      </c>
      <c r="B538" s="31" t="n">
        <v>1178</v>
      </c>
      <c r="C538" s="31" t="n">
        <v>144612</v>
      </c>
      <c r="D538" s="31" t="s">
        <v>59</v>
      </c>
      <c r="E538" s="31" t="s">
        <v>64</v>
      </c>
      <c r="F538" s="31" t="n">
        <v>30</v>
      </c>
      <c r="G538" s="31" t="n">
        <v>123126</v>
      </c>
      <c r="H538" s="31" t="n">
        <v>25</v>
      </c>
      <c r="I538" s="32" t="n">
        <v>39.72999978</v>
      </c>
      <c r="J538" s="31" t="n">
        <v>2</v>
      </c>
      <c r="K538" s="31" t="n">
        <v>1</v>
      </c>
    </row>
    <row r="539" customFormat="false" ht="15" hidden="false" customHeight="false" outlineLevel="0" collapsed="false">
      <c r="A539" s="31" t="n">
        <v>1121535</v>
      </c>
      <c r="B539" s="31" t="n">
        <v>1178</v>
      </c>
      <c r="C539" s="31" t="n">
        <v>144613</v>
      </c>
      <c r="D539" s="31" t="s">
        <v>59</v>
      </c>
      <c r="E539" s="31" t="s">
        <v>64</v>
      </c>
      <c r="F539" s="31" t="n">
        <v>31</v>
      </c>
      <c r="G539" s="31" t="n">
        <v>77794</v>
      </c>
      <c r="H539" s="31" t="n">
        <v>14</v>
      </c>
      <c r="I539" s="32" t="n">
        <v>19.11000001</v>
      </c>
      <c r="J539" s="31" t="n">
        <v>1</v>
      </c>
      <c r="K539" s="31" t="n">
        <v>1</v>
      </c>
    </row>
    <row r="540" customFormat="false" ht="15" hidden="false" customHeight="false" outlineLevel="0" collapsed="false">
      <c r="A540" s="31" t="n">
        <v>1121541</v>
      </c>
      <c r="B540" s="31" t="n">
        <v>1178</v>
      </c>
      <c r="C540" s="31" t="n">
        <v>144614</v>
      </c>
      <c r="D540" s="31" t="s">
        <v>59</v>
      </c>
      <c r="E540" s="31" t="s">
        <v>64</v>
      </c>
      <c r="F540" s="31" t="n">
        <v>32</v>
      </c>
      <c r="G540" s="31" t="n">
        <v>56630</v>
      </c>
      <c r="H540" s="31" t="n">
        <v>9</v>
      </c>
      <c r="I540" s="32" t="n">
        <v>15.81000018</v>
      </c>
      <c r="J540" s="31" t="n">
        <v>1</v>
      </c>
      <c r="K540" s="31" t="n">
        <v>1</v>
      </c>
    </row>
    <row r="541" customFormat="false" ht="15" hidden="false" customHeight="false" outlineLevel="0" collapsed="false">
      <c r="A541" s="31" t="n">
        <v>1121544</v>
      </c>
      <c r="B541" s="31" t="n">
        <v>1178</v>
      </c>
      <c r="C541" s="31" t="n">
        <v>144614</v>
      </c>
      <c r="D541" s="31" t="s">
        <v>59</v>
      </c>
      <c r="E541" s="31" t="s">
        <v>64</v>
      </c>
      <c r="F541" s="31" t="n">
        <v>32</v>
      </c>
      <c r="G541" s="31" t="n">
        <v>400844</v>
      </c>
      <c r="H541" s="31" t="n">
        <v>85</v>
      </c>
      <c r="I541" s="32" t="n">
        <v>140.9700022</v>
      </c>
      <c r="J541" s="31" t="n">
        <v>4</v>
      </c>
      <c r="K541" s="31" t="n">
        <v>2</v>
      </c>
    </row>
    <row r="542" customFormat="false" ht="15" hidden="false" customHeight="false" outlineLevel="0" collapsed="false">
      <c r="A542" s="31" t="n">
        <v>1121545</v>
      </c>
      <c r="B542" s="31" t="n">
        <v>1178</v>
      </c>
      <c r="C542" s="31" t="n">
        <v>144614</v>
      </c>
      <c r="D542" s="31" t="s">
        <v>59</v>
      </c>
      <c r="E542" s="31" t="s">
        <v>64</v>
      </c>
      <c r="F542" s="31" t="n">
        <v>32</v>
      </c>
      <c r="G542" s="31" t="n">
        <v>208572</v>
      </c>
      <c r="H542" s="31" t="n">
        <v>36</v>
      </c>
      <c r="I542" s="32" t="n">
        <v>60.76000023</v>
      </c>
      <c r="J542" s="31" t="n">
        <v>2</v>
      </c>
      <c r="K542" s="31" t="n">
        <v>1</v>
      </c>
    </row>
    <row r="543" customFormat="false" ht="15" hidden="false" customHeight="false" outlineLevel="0" collapsed="false">
      <c r="A543" s="31" t="n">
        <v>1121548</v>
      </c>
      <c r="B543" s="31" t="n">
        <v>1178</v>
      </c>
      <c r="C543" s="31" t="n">
        <v>144615</v>
      </c>
      <c r="D543" s="31" t="s">
        <v>59</v>
      </c>
      <c r="E543" s="31" t="s">
        <v>64</v>
      </c>
      <c r="F543" s="31" t="n">
        <v>36</v>
      </c>
      <c r="G543" s="31" t="n">
        <v>59004</v>
      </c>
      <c r="H543" s="31" t="n">
        <v>8</v>
      </c>
      <c r="I543" s="32" t="n">
        <v>13.51000011</v>
      </c>
      <c r="J543" s="31" t="n">
        <v>1</v>
      </c>
      <c r="K543" s="31" t="n">
        <v>0</v>
      </c>
    </row>
    <row r="544" customFormat="false" ht="15" hidden="false" customHeight="false" outlineLevel="0" collapsed="false">
      <c r="A544" s="31" t="n">
        <v>1121551</v>
      </c>
      <c r="B544" s="31" t="n">
        <v>1178</v>
      </c>
      <c r="C544" s="31" t="n">
        <v>144615</v>
      </c>
      <c r="D544" s="31" t="s">
        <v>59</v>
      </c>
      <c r="E544" s="31" t="s">
        <v>64</v>
      </c>
      <c r="F544" s="31" t="n">
        <v>36</v>
      </c>
      <c r="G544" s="31" t="n">
        <v>196253</v>
      </c>
      <c r="H544" s="31" t="n">
        <v>32</v>
      </c>
      <c r="I544" s="32" t="n">
        <v>55.10000002</v>
      </c>
      <c r="J544" s="31" t="n">
        <v>1</v>
      </c>
      <c r="K544" s="31" t="n">
        <v>0</v>
      </c>
    </row>
    <row r="545" customFormat="false" ht="15" hidden="false" customHeight="false" outlineLevel="0" collapsed="false">
      <c r="A545" s="31" t="n">
        <v>1121554</v>
      </c>
      <c r="B545" s="31" t="n">
        <v>1178</v>
      </c>
      <c r="C545" s="31" t="n">
        <v>144616</v>
      </c>
      <c r="D545" s="31" t="s">
        <v>59</v>
      </c>
      <c r="E545" s="31" t="s">
        <v>64</v>
      </c>
      <c r="F545" s="31" t="n">
        <v>63</v>
      </c>
      <c r="G545" s="31" t="n">
        <v>51858</v>
      </c>
      <c r="H545" s="31" t="n">
        <v>8</v>
      </c>
      <c r="I545" s="32" t="n">
        <v>12.63000011</v>
      </c>
      <c r="J545" s="31" t="n">
        <v>1</v>
      </c>
      <c r="K545" s="31" t="n">
        <v>1</v>
      </c>
    </row>
    <row r="546" customFormat="false" ht="15" hidden="false" customHeight="false" outlineLevel="0" collapsed="false">
      <c r="A546" s="31" t="n">
        <v>1121557</v>
      </c>
      <c r="B546" s="31" t="n">
        <v>1178</v>
      </c>
      <c r="C546" s="31" t="n">
        <v>144616</v>
      </c>
      <c r="D546" s="31" t="s">
        <v>59</v>
      </c>
      <c r="E546" s="31" t="s">
        <v>64</v>
      </c>
      <c r="F546" s="31" t="n">
        <v>63</v>
      </c>
      <c r="G546" s="31" t="n">
        <v>280764</v>
      </c>
      <c r="H546" s="31" t="n">
        <v>49</v>
      </c>
      <c r="I546" s="32" t="n">
        <v>81.36000025</v>
      </c>
      <c r="J546" s="31" t="n">
        <v>2</v>
      </c>
      <c r="K546" s="31" t="n">
        <v>1</v>
      </c>
    </row>
    <row r="547" customFormat="false" ht="15" hidden="false" customHeight="false" outlineLevel="0" collapsed="false">
      <c r="A547" s="31" t="n">
        <v>1121561</v>
      </c>
      <c r="B547" s="31" t="n">
        <v>1178</v>
      </c>
      <c r="C547" s="31" t="n">
        <v>144617</v>
      </c>
      <c r="D547" s="31" t="s">
        <v>59</v>
      </c>
      <c r="E547" s="31" t="s">
        <v>64</v>
      </c>
      <c r="F547" s="31" t="n">
        <v>64</v>
      </c>
      <c r="G547" s="31" t="n">
        <v>63660</v>
      </c>
      <c r="H547" s="31" t="n">
        <v>11</v>
      </c>
      <c r="I547" s="32" t="n">
        <v>16.47000003</v>
      </c>
      <c r="J547" s="31" t="n">
        <v>1</v>
      </c>
      <c r="K547" s="31" t="n">
        <v>1</v>
      </c>
    </row>
    <row r="548" customFormat="false" ht="15" hidden="false" customHeight="false" outlineLevel="0" collapsed="false">
      <c r="A548" s="31" t="n">
        <v>1121562</v>
      </c>
      <c r="B548" s="31" t="n">
        <v>1178</v>
      </c>
      <c r="C548" s="31" t="n">
        <v>144617</v>
      </c>
      <c r="D548" s="31" t="s">
        <v>59</v>
      </c>
      <c r="E548" s="31" t="s">
        <v>64</v>
      </c>
      <c r="F548" s="31" t="n">
        <v>64</v>
      </c>
      <c r="G548" s="31" t="n">
        <v>109289</v>
      </c>
      <c r="H548" s="31" t="n">
        <v>19</v>
      </c>
      <c r="I548" s="32" t="n">
        <v>31.02999997</v>
      </c>
      <c r="J548" s="31" t="n">
        <v>1</v>
      </c>
      <c r="K548" s="31" t="n">
        <v>0</v>
      </c>
    </row>
    <row r="549" customFormat="false" ht="15" hidden="false" customHeight="false" outlineLevel="0" collapsed="false">
      <c r="A549" s="31" t="n">
        <v>1121568</v>
      </c>
      <c r="B549" s="31" t="n">
        <v>1178</v>
      </c>
      <c r="C549" s="31" t="n">
        <v>144618</v>
      </c>
      <c r="D549" s="31" t="s">
        <v>59</v>
      </c>
      <c r="E549" s="31" t="s">
        <v>64</v>
      </c>
      <c r="F549" s="31" t="n">
        <v>65</v>
      </c>
      <c r="G549" s="31" t="n">
        <v>188440</v>
      </c>
      <c r="H549" s="31" t="n">
        <v>40</v>
      </c>
      <c r="I549" s="32" t="n">
        <v>60.72999966</v>
      </c>
      <c r="J549" s="31" t="n">
        <v>2</v>
      </c>
      <c r="K549" s="31" t="n">
        <v>1</v>
      </c>
    </row>
    <row r="550" customFormat="false" ht="15" hidden="false" customHeight="false" outlineLevel="0" collapsed="false">
      <c r="A550" s="31" t="n">
        <v>1121571</v>
      </c>
      <c r="B550" s="31" t="n">
        <v>1178</v>
      </c>
      <c r="C550" s="31" t="n">
        <v>144619</v>
      </c>
      <c r="D550" s="31" t="s">
        <v>59</v>
      </c>
      <c r="E550" s="31" t="s">
        <v>64</v>
      </c>
      <c r="F550" s="31" t="n">
        <v>2</v>
      </c>
      <c r="G550" s="31" t="n">
        <v>212496</v>
      </c>
      <c r="H550" s="31" t="n">
        <v>44</v>
      </c>
      <c r="I550" s="32" t="n">
        <v>74.83000135</v>
      </c>
      <c r="J550" s="31" t="n">
        <v>2</v>
      </c>
      <c r="K550" s="31" t="n">
        <v>1</v>
      </c>
    </row>
    <row r="551" customFormat="false" ht="15" hidden="false" customHeight="false" outlineLevel="0" collapsed="false">
      <c r="A551" s="31" t="n">
        <v>1121572</v>
      </c>
      <c r="B551" s="31" t="n">
        <v>1178</v>
      </c>
      <c r="C551" s="31" t="n">
        <v>144619</v>
      </c>
      <c r="D551" s="31" t="s">
        <v>59</v>
      </c>
      <c r="E551" s="31" t="s">
        <v>64</v>
      </c>
      <c r="F551" s="31" t="n">
        <v>2</v>
      </c>
      <c r="G551" s="31" t="n">
        <v>32574</v>
      </c>
      <c r="H551" s="31" t="n">
        <v>5</v>
      </c>
      <c r="I551" s="32" t="n">
        <v>7.480000019</v>
      </c>
      <c r="J551" s="31" t="n">
        <v>1</v>
      </c>
      <c r="K551" s="31" t="n">
        <v>0</v>
      </c>
    </row>
    <row r="552" customFormat="false" ht="15" hidden="false" customHeight="false" outlineLevel="0" collapsed="false">
      <c r="A552" s="31" t="n">
        <v>1121575</v>
      </c>
      <c r="B552" s="31" t="n">
        <v>1178</v>
      </c>
      <c r="C552" s="31" t="n">
        <v>144619</v>
      </c>
      <c r="D552" s="31" t="s">
        <v>59</v>
      </c>
      <c r="E552" s="31" t="s">
        <v>64</v>
      </c>
      <c r="F552" s="31" t="n">
        <v>2</v>
      </c>
      <c r="G552" s="31" t="n">
        <v>128595</v>
      </c>
      <c r="H552" s="31" t="n">
        <v>23</v>
      </c>
      <c r="I552" s="32" t="n">
        <v>36.4800005</v>
      </c>
      <c r="J552" s="31" t="n">
        <v>1</v>
      </c>
      <c r="K552" s="31" t="n">
        <v>1</v>
      </c>
    </row>
    <row r="553" customFormat="false" ht="15" hidden="false" customHeight="false" outlineLevel="0" collapsed="false">
      <c r="A553" s="31" t="n">
        <v>1121577</v>
      </c>
      <c r="B553" s="31" t="n">
        <v>1178</v>
      </c>
      <c r="C553" s="31" t="n">
        <v>144620</v>
      </c>
      <c r="D553" s="31" t="s">
        <v>59</v>
      </c>
      <c r="E553" s="31" t="s">
        <v>64</v>
      </c>
      <c r="F553" s="31" t="n">
        <v>7</v>
      </c>
      <c r="G553" s="31" t="n">
        <v>242234</v>
      </c>
      <c r="H553" s="31" t="n">
        <v>48</v>
      </c>
      <c r="I553" s="32" t="n">
        <v>68.06000054</v>
      </c>
      <c r="J553" s="31" t="n">
        <v>2</v>
      </c>
      <c r="K553" s="31" t="n">
        <v>0</v>
      </c>
    </row>
    <row r="554" customFormat="false" ht="15" hidden="false" customHeight="false" outlineLevel="0" collapsed="false">
      <c r="A554" s="31" t="n">
        <v>1121584</v>
      </c>
      <c r="B554" s="31" t="n">
        <v>1178</v>
      </c>
      <c r="C554" s="31" t="n">
        <v>144621</v>
      </c>
      <c r="D554" s="31" t="s">
        <v>59</v>
      </c>
      <c r="E554" s="31" t="s">
        <v>64</v>
      </c>
      <c r="F554" s="31" t="n">
        <v>66</v>
      </c>
      <c r="G554" s="31" t="n">
        <v>33154</v>
      </c>
      <c r="H554" s="31" t="n">
        <v>5</v>
      </c>
      <c r="I554" s="32" t="n">
        <v>7.879999995</v>
      </c>
      <c r="J554" s="31" t="n">
        <v>1</v>
      </c>
      <c r="K554" s="31" t="n">
        <v>1</v>
      </c>
    </row>
    <row r="555" customFormat="false" ht="15" hidden="false" customHeight="false" outlineLevel="0" collapsed="false">
      <c r="A555" s="31" t="n">
        <v>1121585</v>
      </c>
      <c r="B555" s="31" t="n">
        <v>1178</v>
      </c>
      <c r="C555" s="31" t="n">
        <v>144621</v>
      </c>
      <c r="D555" s="31" t="s">
        <v>59</v>
      </c>
      <c r="E555" s="31" t="s">
        <v>64</v>
      </c>
      <c r="F555" s="31" t="n">
        <v>66</v>
      </c>
      <c r="G555" s="31" t="n">
        <v>9773</v>
      </c>
      <c r="H555" s="31" t="n">
        <v>1</v>
      </c>
      <c r="I555" s="32" t="n">
        <v>1.460000038</v>
      </c>
      <c r="J555" s="31" t="n">
        <v>1</v>
      </c>
      <c r="K555" s="31" t="n">
        <v>0</v>
      </c>
    </row>
    <row r="556" customFormat="false" ht="15" hidden="false" customHeight="false" outlineLevel="0" collapsed="false">
      <c r="A556" s="31" t="n">
        <v>1121589</v>
      </c>
      <c r="B556" s="31" t="n">
        <v>1178</v>
      </c>
      <c r="C556" s="31" t="n">
        <v>144622</v>
      </c>
      <c r="D556" s="31" t="s">
        <v>60</v>
      </c>
      <c r="E556" s="31" t="s">
        <v>64</v>
      </c>
      <c r="F556" s="31" t="n">
        <v>10</v>
      </c>
      <c r="G556" s="31" t="n">
        <v>464036</v>
      </c>
      <c r="H556" s="31" t="n">
        <v>77</v>
      </c>
      <c r="I556" s="32" t="n">
        <v>123.5500004</v>
      </c>
      <c r="J556" s="31" t="n">
        <v>3</v>
      </c>
      <c r="K556" s="31" t="n">
        <v>1</v>
      </c>
    </row>
    <row r="557" customFormat="false" ht="15" hidden="false" customHeight="false" outlineLevel="0" collapsed="false">
      <c r="A557" s="31" t="n">
        <v>1121590</v>
      </c>
      <c r="B557" s="31" t="n">
        <v>1178</v>
      </c>
      <c r="C557" s="31" t="n">
        <v>144622</v>
      </c>
      <c r="D557" s="31" t="s">
        <v>60</v>
      </c>
      <c r="E557" s="31" t="s">
        <v>64</v>
      </c>
      <c r="F557" s="31" t="n">
        <v>10</v>
      </c>
      <c r="G557" s="31" t="n">
        <v>478480</v>
      </c>
      <c r="H557" s="31" t="n">
        <v>75</v>
      </c>
      <c r="I557" s="32" t="n">
        <v>135.7500012</v>
      </c>
      <c r="J557" s="31" t="n">
        <v>3</v>
      </c>
      <c r="K557" s="31" t="n">
        <v>1</v>
      </c>
    </row>
    <row r="558" customFormat="false" ht="15" hidden="false" customHeight="false" outlineLevel="0" collapsed="false">
      <c r="A558" s="31" t="n">
        <v>1121592</v>
      </c>
      <c r="B558" s="31" t="n">
        <v>1178</v>
      </c>
      <c r="C558" s="31" t="n">
        <v>144622</v>
      </c>
      <c r="D558" s="31" t="s">
        <v>60</v>
      </c>
      <c r="E558" s="31" t="s">
        <v>64</v>
      </c>
      <c r="F558" s="31" t="n">
        <v>10</v>
      </c>
      <c r="G558" s="31" t="n">
        <v>428812</v>
      </c>
      <c r="H558" s="31" t="n">
        <v>66</v>
      </c>
      <c r="I558" s="32" t="n">
        <v>116.8800001</v>
      </c>
      <c r="J558" s="31" t="n">
        <v>4</v>
      </c>
      <c r="K558" s="31" t="n">
        <v>2</v>
      </c>
    </row>
    <row r="559" customFormat="false" ht="15" hidden="false" customHeight="false" outlineLevel="0" collapsed="false">
      <c r="A559" s="31" t="n">
        <v>1121593</v>
      </c>
      <c r="B559" s="31" t="n">
        <v>1178</v>
      </c>
      <c r="C559" s="31" t="n">
        <v>144622</v>
      </c>
      <c r="D559" s="31" t="s">
        <v>60</v>
      </c>
      <c r="E559" s="31" t="s">
        <v>64</v>
      </c>
      <c r="F559" s="31" t="n">
        <v>10</v>
      </c>
      <c r="G559" s="31" t="n">
        <v>1177535</v>
      </c>
      <c r="H559" s="31" t="n">
        <v>221</v>
      </c>
      <c r="I559" s="32" t="n">
        <v>365.6600009</v>
      </c>
      <c r="J559" s="31" t="n">
        <v>15</v>
      </c>
      <c r="K559" s="31" t="n">
        <v>3</v>
      </c>
    </row>
    <row r="560" customFormat="false" ht="15" hidden="false" customHeight="false" outlineLevel="0" collapsed="false">
      <c r="A560" s="31" t="n">
        <v>1121594</v>
      </c>
      <c r="B560" s="31" t="n">
        <v>1178</v>
      </c>
      <c r="C560" s="31" t="n">
        <v>144622</v>
      </c>
      <c r="D560" s="31" t="s">
        <v>60</v>
      </c>
      <c r="E560" s="31" t="s">
        <v>64</v>
      </c>
      <c r="F560" s="31" t="n">
        <v>10</v>
      </c>
      <c r="G560" s="31" t="n">
        <v>426500</v>
      </c>
      <c r="H560" s="31" t="n">
        <v>72</v>
      </c>
      <c r="I560" s="32" t="n">
        <v>128.2799988</v>
      </c>
      <c r="J560" s="31" t="n">
        <v>4</v>
      </c>
      <c r="K560" s="31" t="n">
        <v>1</v>
      </c>
    </row>
    <row r="561" customFormat="false" ht="15" hidden="false" customHeight="false" outlineLevel="0" collapsed="false">
      <c r="A561" s="31" t="n">
        <v>1121597</v>
      </c>
      <c r="B561" s="31" t="n">
        <v>1178</v>
      </c>
      <c r="C561" s="31" t="n">
        <v>144623</v>
      </c>
      <c r="D561" s="31" t="s">
        <v>60</v>
      </c>
      <c r="E561" s="31" t="s">
        <v>64</v>
      </c>
      <c r="F561" s="31" t="n">
        <v>15</v>
      </c>
      <c r="G561" s="31" t="n">
        <v>54237</v>
      </c>
      <c r="H561" s="31" t="n">
        <v>7</v>
      </c>
      <c r="I561" s="32" t="n">
        <v>10.77999985</v>
      </c>
      <c r="J561" s="31" t="n">
        <v>2</v>
      </c>
      <c r="K561" s="31" t="n">
        <v>1</v>
      </c>
    </row>
    <row r="562" customFormat="false" ht="15" hidden="false" customHeight="false" outlineLevel="0" collapsed="false">
      <c r="A562" s="31" t="n">
        <v>1121598</v>
      </c>
      <c r="B562" s="31" t="n">
        <v>1178</v>
      </c>
      <c r="C562" s="31" t="n">
        <v>144623</v>
      </c>
      <c r="D562" s="31" t="s">
        <v>60</v>
      </c>
      <c r="E562" s="31" t="s">
        <v>64</v>
      </c>
      <c r="F562" s="31" t="n">
        <v>15</v>
      </c>
      <c r="G562" s="31" t="n">
        <v>506916</v>
      </c>
      <c r="H562" s="31" t="n">
        <v>89</v>
      </c>
      <c r="I562" s="32" t="n">
        <v>133.6999986</v>
      </c>
      <c r="J562" s="31" t="n">
        <v>2</v>
      </c>
      <c r="K562" s="31" t="n">
        <v>2</v>
      </c>
    </row>
    <row r="563" customFormat="false" ht="15" hidden="false" customHeight="false" outlineLevel="0" collapsed="false">
      <c r="A563" s="31" t="n">
        <v>1121599</v>
      </c>
      <c r="B563" s="31" t="n">
        <v>1178</v>
      </c>
      <c r="C563" s="31" t="n">
        <v>144623</v>
      </c>
      <c r="D563" s="31" t="s">
        <v>60</v>
      </c>
      <c r="E563" s="31" t="s">
        <v>64</v>
      </c>
      <c r="F563" s="31" t="n">
        <v>15</v>
      </c>
      <c r="G563" s="31" t="n">
        <v>250960</v>
      </c>
      <c r="H563" s="31" t="n">
        <v>42</v>
      </c>
      <c r="I563" s="32" t="n">
        <v>64.87999952</v>
      </c>
      <c r="J563" s="31" t="n">
        <v>2</v>
      </c>
      <c r="K563" s="31" t="n">
        <v>0</v>
      </c>
    </row>
    <row r="564" customFormat="false" ht="15" hidden="false" customHeight="false" outlineLevel="0" collapsed="false">
      <c r="A564" s="31" t="n">
        <v>1121601</v>
      </c>
      <c r="B564" s="31" t="n">
        <v>1178</v>
      </c>
      <c r="C564" s="31" t="n">
        <v>144624</v>
      </c>
      <c r="D564" s="31" t="s">
        <v>60</v>
      </c>
      <c r="E564" s="31" t="s">
        <v>64</v>
      </c>
      <c r="F564" s="31" t="n">
        <v>16</v>
      </c>
      <c r="G564" s="31" t="n">
        <v>2286228</v>
      </c>
      <c r="H564" s="31" t="n">
        <v>353</v>
      </c>
      <c r="I564" s="32" t="n">
        <v>603.380002</v>
      </c>
      <c r="J564" s="31" t="n">
        <v>16</v>
      </c>
      <c r="K564" s="31" t="n">
        <v>7</v>
      </c>
    </row>
    <row r="565" customFormat="false" ht="15" hidden="false" customHeight="false" outlineLevel="0" collapsed="false">
      <c r="A565" s="31" t="n">
        <v>1121602</v>
      </c>
      <c r="B565" s="31" t="n">
        <v>1178</v>
      </c>
      <c r="C565" s="31" t="n">
        <v>144624</v>
      </c>
      <c r="D565" s="31" t="s">
        <v>60</v>
      </c>
      <c r="E565" s="31" t="s">
        <v>64</v>
      </c>
      <c r="F565" s="31" t="n">
        <v>16</v>
      </c>
      <c r="G565" s="31" t="n">
        <v>915451</v>
      </c>
      <c r="H565" s="31" t="n">
        <v>125</v>
      </c>
      <c r="I565" s="32" t="n">
        <v>220.559999</v>
      </c>
      <c r="J565" s="31" t="n">
        <v>6</v>
      </c>
      <c r="K565" s="31" t="n">
        <v>1</v>
      </c>
    </row>
    <row r="566" customFormat="false" ht="15" hidden="false" customHeight="false" outlineLevel="0" collapsed="false">
      <c r="A566" s="31" t="n">
        <v>1121603</v>
      </c>
      <c r="B566" s="31" t="n">
        <v>1178</v>
      </c>
      <c r="C566" s="31" t="n">
        <v>144624</v>
      </c>
      <c r="D566" s="31" t="s">
        <v>60</v>
      </c>
      <c r="E566" s="31" t="s">
        <v>64</v>
      </c>
      <c r="F566" s="31" t="n">
        <v>16</v>
      </c>
      <c r="G566" s="31" t="n">
        <v>159478</v>
      </c>
      <c r="H566" s="31" t="n">
        <v>20</v>
      </c>
      <c r="I566" s="32" t="n">
        <v>33.89999998</v>
      </c>
      <c r="J566" s="31" t="n">
        <v>3</v>
      </c>
      <c r="K566" s="31" t="n">
        <v>1</v>
      </c>
    </row>
    <row r="567" customFormat="false" ht="15" hidden="false" customHeight="false" outlineLevel="0" collapsed="false">
      <c r="A567" s="31" t="n">
        <v>1121605</v>
      </c>
      <c r="B567" s="31" t="n">
        <v>1178</v>
      </c>
      <c r="C567" s="31" t="n">
        <v>144624</v>
      </c>
      <c r="D567" s="31" t="s">
        <v>60</v>
      </c>
      <c r="E567" s="31" t="s">
        <v>64</v>
      </c>
      <c r="F567" s="31" t="n">
        <v>16</v>
      </c>
      <c r="G567" s="31" t="n">
        <v>1228924</v>
      </c>
      <c r="H567" s="31" t="n">
        <v>190</v>
      </c>
      <c r="I567" s="32" t="n">
        <v>318.9700032</v>
      </c>
      <c r="J567" s="31" t="n">
        <v>6</v>
      </c>
      <c r="K567" s="31" t="n">
        <v>3</v>
      </c>
    </row>
    <row r="568" customFormat="false" ht="15" hidden="false" customHeight="false" outlineLevel="0" collapsed="false">
      <c r="A568" s="31" t="n">
        <v>1121606</v>
      </c>
      <c r="B568" s="31" t="n">
        <v>1178</v>
      </c>
      <c r="C568" s="31" t="n">
        <v>144624</v>
      </c>
      <c r="D568" s="31" t="s">
        <v>60</v>
      </c>
      <c r="E568" s="31" t="s">
        <v>64</v>
      </c>
      <c r="F568" s="31" t="n">
        <v>16</v>
      </c>
      <c r="G568" s="31" t="n">
        <v>938283</v>
      </c>
      <c r="H568" s="31" t="n">
        <v>134</v>
      </c>
      <c r="I568" s="32" t="n">
        <v>248.6400001</v>
      </c>
      <c r="J568" s="31" t="n">
        <v>7</v>
      </c>
      <c r="K568" s="31" t="n">
        <v>2</v>
      </c>
    </row>
    <row r="569" customFormat="false" ht="15" hidden="false" customHeight="false" outlineLevel="0" collapsed="false">
      <c r="A569" s="31" t="n">
        <v>1121607</v>
      </c>
      <c r="B569" s="31" t="n">
        <v>1178</v>
      </c>
      <c r="C569" s="31" t="n">
        <v>144625</v>
      </c>
      <c r="D569" s="31" t="s">
        <v>60</v>
      </c>
      <c r="E569" s="31" t="s">
        <v>64</v>
      </c>
      <c r="F569" s="31" t="n">
        <v>18</v>
      </c>
      <c r="G569" s="31" t="n">
        <v>154572</v>
      </c>
      <c r="H569" s="31" t="n">
        <v>26</v>
      </c>
      <c r="I569" s="32" t="n">
        <v>40.93000007</v>
      </c>
      <c r="J569" s="31" t="n">
        <v>1</v>
      </c>
      <c r="K569" s="31" t="n">
        <v>1</v>
      </c>
    </row>
    <row r="570" customFormat="false" ht="15" hidden="false" customHeight="false" outlineLevel="0" collapsed="false">
      <c r="A570" s="31" t="n">
        <v>1121609</v>
      </c>
      <c r="B570" s="31" t="n">
        <v>1178</v>
      </c>
      <c r="C570" s="31" t="n">
        <v>144625</v>
      </c>
      <c r="D570" s="31" t="s">
        <v>60</v>
      </c>
      <c r="E570" s="31" t="s">
        <v>64</v>
      </c>
      <c r="F570" s="31" t="n">
        <v>18</v>
      </c>
      <c r="G570" s="31" t="n">
        <v>378171</v>
      </c>
      <c r="H570" s="31" t="n">
        <v>70</v>
      </c>
      <c r="I570" s="32" t="n">
        <v>109.2500008</v>
      </c>
      <c r="J570" s="31" t="n">
        <v>1</v>
      </c>
      <c r="K570" s="31" t="n">
        <v>0</v>
      </c>
    </row>
    <row r="571" customFormat="false" ht="15" hidden="false" customHeight="false" outlineLevel="0" collapsed="false">
      <c r="A571" s="31" t="n">
        <v>1121612</v>
      </c>
      <c r="B571" s="31" t="n">
        <v>1178</v>
      </c>
      <c r="C571" s="31" t="n">
        <v>144625</v>
      </c>
      <c r="D571" s="31" t="s">
        <v>60</v>
      </c>
      <c r="E571" s="31" t="s">
        <v>64</v>
      </c>
      <c r="F571" s="31" t="n">
        <v>18</v>
      </c>
      <c r="G571" s="31" t="n">
        <v>468749</v>
      </c>
      <c r="H571" s="31" t="n">
        <v>84</v>
      </c>
      <c r="I571" s="32" t="n">
        <v>134.1199975</v>
      </c>
      <c r="J571" s="31" t="n">
        <v>6</v>
      </c>
      <c r="K571" s="31" t="n">
        <v>1</v>
      </c>
    </row>
    <row r="572" customFormat="false" ht="15" hidden="false" customHeight="false" outlineLevel="0" collapsed="false">
      <c r="A572" s="31" t="n">
        <v>1121613</v>
      </c>
      <c r="B572" s="31" t="n">
        <v>1178</v>
      </c>
      <c r="C572" s="31" t="n">
        <v>144626</v>
      </c>
      <c r="D572" s="31" t="s">
        <v>60</v>
      </c>
      <c r="E572" s="31" t="s">
        <v>64</v>
      </c>
      <c r="F572" s="31" t="n">
        <v>19</v>
      </c>
      <c r="G572" s="31" t="n">
        <v>309823</v>
      </c>
      <c r="H572" s="31" t="n">
        <v>60</v>
      </c>
      <c r="I572" s="32" t="n">
        <v>103.3899996</v>
      </c>
      <c r="J572" s="31" t="n">
        <v>4</v>
      </c>
      <c r="K572" s="31" t="n">
        <v>4</v>
      </c>
    </row>
    <row r="573" customFormat="false" ht="15" hidden="false" customHeight="false" outlineLevel="0" collapsed="false">
      <c r="A573" s="31" t="n">
        <v>1121615</v>
      </c>
      <c r="B573" s="31" t="n">
        <v>1178</v>
      </c>
      <c r="C573" s="31" t="n">
        <v>144626</v>
      </c>
      <c r="D573" s="31" t="s">
        <v>60</v>
      </c>
      <c r="E573" s="31" t="s">
        <v>64</v>
      </c>
      <c r="F573" s="31" t="n">
        <v>19</v>
      </c>
      <c r="G573" s="31" t="n">
        <v>327227</v>
      </c>
      <c r="H573" s="31" t="n">
        <v>65</v>
      </c>
      <c r="I573" s="32" t="n">
        <v>116.5599996</v>
      </c>
      <c r="J573" s="31" t="n">
        <v>5</v>
      </c>
      <c r="K573" s="31" t="n">
        <v>0</v>
      </c>
    </row>
    <row r="574" customFormat="false" ht="15" hidden="false" customHeight="false" outlineLevel="0" collapsed="false">
      <c r="A574" s="31" t="n">
        <v>1121616</v>
      </c>
      <c r="B574" s="31" t="n">
        <v>1178</v>
      </c>
      <c r="C574" s="31" t="n">
        <v>144626</v>
      </c>
      <c r="D574" s="31" t="s">
        <v>60</v>
      </c>
      <c r="E574" s="31" t="s">
        <v>64</v>
      </c>
      <c r="F574" s="31" t="n">
        <v>19</v>
      </c>
      <c r="G574" s="31" t="n">
        <v>334945</v>
      </c>
      <c r="H574" s="31" t="n">
        <v>72</v>
      </c>
      <c r="I574" s="32" t="n">
        <v>120.2999994</v>
      </c>
      <c r="J574" s="31" t="n">
        <v>2</v>
      </c>
      <c r="K574" s="31" t="n">
        <v>1</v>
      </c>
    </row>
    <row r="575" customFormat="false" ht="15" hidden="false" customHeight="false" outlineLevel="0" collapsed="false">
      <c r="A575" s="31" t="n">
        <v>1121617</v>
      </c>
      <c r="B575" s="31" t="n">
        <v>1178</v>
      </c>
      <c r="C575" s="31" t="n">
        <v>144626</v>
      </c>
      <c r="D575" s="31" t="s">
        <v>60</v>
      </c>
      <c r="E575" s="31" t="s">
        <v>64</v>
      </c>
      <c r="F575" s="31" t="n">
        <v>19</v>
      </c>
      <c r="G575" s="31" t="n">
        <v>68859</v>
      </c>
      <c r="H575" s="31" t="n">
        <v>15</v>
      </c>
      <c r="I575" s="32" t="n">
        <v>25.45999968</v>
      </c>
      <c r="J575" s="31" t="n">
        <v>1</v>
      </c>
      <c r="K575" s="31" t="n">
        <v>0</v>
      </c>
    </row>
    <row r="576" customFormat="false" ht="15" hidden="false" customHeight="false" outlineLevel="0" collapsed="false">
      <c r="A576" s="31" t="n">
        <v>1121619</v>
      </c>
      <c r="B576" s="31" t="n">
        <v>1178</v>
      </c>
      <c r="C576" s="31" t="n">
        <v>144627</v>
      </c>
      <c r="D576" s="31" t="s">
        <v>60</v>
      </c>
      <c r="E576" s="31" t="s">
        <v>64</v>
      </c>
      <c r="F576" s="31" t="n">
        <v>20</v>
      </c>
      <c r="G576" s="31" t="n">
        <v>127125</v>
      </c>
      <c r="H576" s="31" t="n">
        <v>20</v>
      </c>
      <c r="I576" s="32" t="n">
        <v>35.67999983</v>
      </c>
      <c r="J576" s="31" t="n">
        <v>2</v>
      </c>
      <c r="K576" s="31" t="n">
        <v>0</v>
      </c>
    </row>
    <row r="577" customFormat="false" ht="15" hidden="false" customHeight="false" outlineLevel="0" collapsed="false">
      <c r="A577" s="31" t="n">
        <v>1121620</v>
      </c>
      <c r="B577" s="31" t="n">
        <v>1178</v>
      </c>
      <c r="C577" s="31" t="n">
        <v>144627</v>
      </c>
      <c r="D577" s="31" t="s">
        <v>60</v>
      </c>
      <c r="E577" s="31" t="s">
        <v>64</v>
      </c>
      <c r="F577" s="31" t="n">
        <v>20</v>
      </c>
      <c r="G577" s="31" t="n">
        <v>415798</v>
      </c>
      <c r="H577" s="31" t="n">
        <v>80</v>
      </c>
      <c r="I577" s="32" t="n">
        <v>131.7800006</v>
      </c>
      <c r="J577" s="31" t="n">
        <v>3</v>
      </c>
      <c r="K577" s="31" t="n">
        <v>1</v>
      </c>
    </row>
    <row r="578" customFormat="false" ht="15" hidden="false" customHeight="false" outlineLevel="0" collapsed="false">
      <c r="A578" s="31" t="n">
        <v>1121622</v>
      </c>
      <c r="B578" s="31" t="n">
        <v>1178</v>
      </c>
      <c r="C578" s="31" t="n">
        <v>144627</v>
      </c>
      <c r="D578" s="31" t="s">
        <v>60</v>
      </c>
      <c r="E578" s="31" t="s">
        <v>64</v>
      </c>
      <c r="F578" s="31" t="n">
        <v>20</v>
      </c>
      <c r="G578" s="31" t="n">
        <v>107671</v>
      </c>
      <c r="H578" s="31" t="n">
        <v>20</v>
      </c>
      <c r="I578" s="32" t="n">
        <v>29.91000021</v>
      </c>
      <c r="J578" s="31" t="n">
        <v>1</v>
      </c>
      <c r="K578" s="31" t="n">
        <v>1</v>
      </c>
    </row>
    <row r="579" customFormat="false" ht="15" hidden="false" customHeight="false" outlineLevel="0" collapsed="false">
      <c r="A579" s="31" t="n">
        <v>1121623</v>
      </c>
      <c r="B579" s="31" t="n">
        <v>1178</v>
      </c>
      <c r="C579" s="31" t="n">
        <v>144627</v>
      </c>
      <c r="D579" s="31" t="s">
        <v>60</v>
      </c>
      <c r="E579" s="31" t="s">
        <v>64</v>
      </c>
      <c r="F579" s="31" t="n">
        <v>20</v>
      </c>
      <c r="G579" s="31" t="n">
        <v>164356</v>
      </c>
      <c r="H579" s="31" t="n">
        <v>28</v>
      </c>
      <c r="I579" s="32" t="n">
        <v>46.7900002</v>
      </c>
      <c r="J579" s="31" t="n">
        <v>2</v>
      </c>
      <c r="K579" s="31" t="n">
        <v>1</v>
      </c>
    </row>
    <row r="580" customFormat="false" ht="15" hidden="false" customHeight="false" outlineLevel="0" collapsed="false">
      <c r="A580" s="31" t="n">
        <v>1121624</v>
      </c>
      <c r="B580" s="31" t="n">
        <v>1178</v>
      </c>
      <c r="C580" s="31" t="n">
        <v>144627</v>
      </c>
      <c r="D580" s="31" t="s">
        <v>60</v>
      </c>
      <c r="E580" s="31" t="s">
        <v>64</v>
      </c>
      <c r="F580" s="31" t="n">
        <v>20</v>
      </c>
      <c r="G580" s="31" t="n">
        <v>17662</v>
      </c>
      <c r="H580" s="31" t="n">
        <v>2</v>
      </c>
      <c r="I580" s="32" t="n">
        <v>3.189999938</v>
      </c>
      <c r="J580" s="31" t="n">
        <v>1</v>
      </c>
      <c r="K580" s="31" t="n">
        <v>0</v>
      </c>
    </row>
    <row r="581" customFormat="false" ht="15" hidden="false" customHeight="false" outlineLevel="0" collapsed="false">
      <c r="A581" s="31" t="n">
        <v>1121627</v>
      </c>
      <c r="B581" s="31" t="n">
        <v>1178</v>
      </c>
      <c r="C581" s="31" t="n">
        <v>144628</v>
      </c>
      <c r="D581" s="31" t="s">
        <v>60</v>
      </c>
      <c r="E581" s="31" t="s">
        <v>64</v>
      </c>
      <c r="F581" s="31" t="n">
        <v>21</v>
      </c>
      <c r="G581" s="31" t="n">
        <v>65339</v>
      </c>
      <c r="H581" s="31" t="n">
        <v>10</v>
      </c>
      <c r="I581" s="32" t="n">
        <v>16.67999983</v>
      </c>
      <c r="J581" s="31" t="n">
        <v>2</v>
      </c>
      <c r="K581" s="31" t="n">
        <v>0</v>
      </c>
    </row>
    <row r="582" customFormat="false" ht="15" hidden="false" customHeight="false" outlineLevel="0" collapsed="false">
      <c r="A582" s="31" t="n">
        <v>1121628</v>
      </c>
      <c r="B582" s="31" t="n">
        <v>1178</v>
      </c>
      <c r="C582" s="31" t="n">
        <v>144628</v>
      </c>
      <c r="D582" s="31" t="s">
        <v>60</v>
      </c>
      <c r="E582" s="31" t="s">
        <v>64</v>
      </c>
      <c r="F582" s="31" t="n">
        <v>21</v>
      </c>
      <c r="G582" s="31" t="n">
        <v>59838</v>
      </c>
      <c r="H582" s="31" t="n">
        <v>7</v>
      </c>
      <c r="I582" s="32" t="n">
        <v>11.11000013</v>
      </c>
      <c r="J582" s="31" t="n">
        <v>1</v>
      </c>
      <c r="K582" s="31" t="n">
        <v>0</v>
      </c>
    </row>
    <row r="583" customFormat="false" ht="15" hidden="false" customHeight="false" outlineLevel="0" collapsed="false">
      <c r="A583" s="31" t="n">
        <v>1121629</v>
      </c>
      <c r="B583" s="31" t="n">
        <v>1178</v>
      </c>
      <c r="C583" s="31" t="n">
        <v>144628</v>
      </c>
      <c r="D583" s="31" t="s">
        <v>60</v>
      </c>
      <c r="E583" s="31" t="s">
        <v>64</v>
      </c>
      <c r="F583" s="31" t="n">
        <v>21</v>
      </c>
      <c r="G583" s="31" t="n">
        <v>381577</v>
      </c>
      <c r="H583" s="31" t="n">
        <v>81</v>
      </c>
      <c r="I583" s="32" t="n">
        <v>127.5699993</v>
      </c>
      <c r="J583" s="31" t="n">
        <v>2</v>
      </c>
      <c r="K583" s="31" t="n">
        <v>0</v>
      </c>
    </row>
    <row r="584" customFormat="false" ht="15" hidden="false" customHeight="false" outlineLevel="0" collapsed="false">
      <c r="A584" s="31" t="n">
        <v>1121635</v>
      </c>
      <c r="B584" s="31" t="n">
        <v>1178</v>
      </c>
      <c r="C584" s="31" t="n">
        <v>144629</v>
      </c>
      <c r="D584" s="31" t="s">
        <v>60</v>
      </c>
      <c r="E584" s="31" t="s">
        <v>64</v>
      </c>
      <c r="F584" s="31" t="n">
        <v>22</v>
      </c>
      <c r="G584" s="31" t="n">
        <v>45491</v>
      </c>
      <c r="H584" s="31" t="n">
        <v>8</v>
      </c>
      <c r="I584" s="32" t="n">
        <v>11.00999999</v>
      </c>
      <c r="J584" s="31" t="n">
        <v>1</v>
      </c>
      <c r="K584" s="31" t="n">
        <v>0</v>
      </c>
    </row>
    <row r="585" customFormat="false" ht="15" hidden="false" customHeight="false" outlineLevel="0" collapsed="false">
      <c r="A585" s="31" t="n">
        <v>1121638</v>
      </c>
      <c r="B585" s="31" t="n">
        <v>1178</v>
      </c>
      <c r="C585" s="31" t="n">
        <v>144630</v>
      </c>
      <c r="D585" s="31" t="s">
        <v>60</v>
      </c>
      <c r="E585" s="31" t="s">
        <v>64</v>
      </c>
      <c r="F585" s="31" t="n">
        <v>23</v>
      </c>
      <c r="G585" s="31" t="n">
        <v>18946</v>
      </c>
      <c r="H585" s="31" t="n">
        <v>2</v>
      </c>
      <c r="I585" s="32" t="n">
        <v>3.599999905</v>
      </c>
      <c r="J585" s="31" t="n">
        <v>1</v>
      </c>
      <c r="K585" s="31" t="n">
        <v>0</v>
      </c>
    </row>
    <row r="586" customFormat="false" ht="15" hidden="false" customHeight="false" outlineLevel="0" collapsed="false">
      <c r="A586" s="31" t="n">
        <v>1121641</v>
      </c>
      <c r="B586" s="31" t="n">
        <v>1178</v>
      </c>
      <c r="C586" s="31" t="n">
        <v>144630</v>
      </c>
      <c r="D586" s="31" t="s">
        <v>60</v>
      </c>
      <c r="E586" s="31" t="s">
        <v>64</v>
      </c>
      <c r="F586" s="31" t="n">
        <v>23</v>
      </c>
      <c r="G586" s="31" t="n">
        <v>114370</v>
      </c>
      <c r="H586" s="31" t="n">
        <v>18</v>
      </c>
      <c r="I586" s="32" t="n">
        <v>33.65999997</v>
      </c>
      <c r="J586" s="31" t="n">
        <v>1</v>
      </c>
      <c r="K586" s="31" t="n">
        <v>0</v>
      </c>
    </row>
    <row r="587" customFormat="false" ht="15" hidden="false" customHeight="false" outlineLevel="0" collapsed="false">
      <c r="A587" s="31" t="n">
        <v>1121642</v>
      </c>
      <c r="B587" s="31" t="n">
        <v>1178</v>
      </c>
      <c r="C587" s="31" t="n">
        <v>144630</v>
      </c>
      <c r="D587" s="31" t="s">
        <v>60</v>
      </c>
      <c r="E587" s="31" t="s">
        <v>64</v>
      </c>
      <c r="F587" s="31" t="n">
        <v>23</v>
      </c>
      <c r="G587" s="31" t="n">
        <v>99698</v>
      </c>
      <c r="H587" s="31" t="n">
        <v>21</v>
      </c>
      <c r="I587" s="32" t="n">
        <v>33.3499999</v>
      </c>
      <c r="J587" s="31" t="n">
        <v>1</v>
      </c>
      <c r="K587" s="31" t="n">
        <v>0</v>
      </c>
    </row>
    <row r="588" customFormat="false" ht="15" hidden="false" customHeight="false" outlineLevel="0" collapsed="false">
      <c r="A588" s="31" t="n">
        <v>1121644</v>
      </c>
      <c r="B588" s="31" t="n">
        <v>1178</v>
      </c>
      <c r="C588" s="31" t="n">
        <v>144631</v>
      </c>
      <c r="D588" s="31" t="s">
        <v>60</v>
      </c>
      <c r="E588" s="31" t="s">
        <v>64</v>
      </c>
      <c r="F588" s="31" t="n">
        <v>24</v>
      </c>
      <c r="G588" s="31" t="n">
        <v>355165</v>
      </c>
      <c r="H588" s="31" t="n">
        <v>81</v>
      </c>
      <c r="I588" s="32" t="n">
        <v>128.6099997</v>
      </c>
      <c r="J588" s="31" t="n">
        <v>4</v>
      </c>
      <c r="K588" s="31" t="n">
        <v>3</v>
      </c>
    </row>
    <row r="589" customFormat="false" ht="15" hidden="false" customHeight="false" outlineLevel="0" collapsed="false">
      <c r="A589" s="31" t="n">
        <v>1121650</v>
      </c>
      <c r="B589" s="31" t="n">
        <v>1178</v>
      </c>
      <c r="C589" s="31" t="n">
        <v>144632</v>
      </c>
      <c r="D589" s="31" t="s">
        <v>60</v>
      </c>
      <c r="E589" s="31" t="s">
        <v>64</v>
      </c>
      <c r="F589" s="31" t="n">
        <v>25</v>
      </c>
      <c r="G589" s="31" t="n">
        <v>101431</v>
      </c>
      <c r="H589" s="31" t="n">
        <v>23</v>
      </c>
      <c r="I589" s="32" t="n">
        <v>33.93000031</v>
      </c>
      <c r="J589" s="31" t="n">
        <v>1</v>
      </c>
      <c r="K589" s="31" t="n">
        <v>1</v>
      </c>
    </row>
    <row r="590" customFormat="false" ht="15" hidden="false" customHeight="false" outlineLevel="0" collapsed="false">
      <c r="A590" s="31" t="n">
        <v>1121652</v>
      </c>
      <c r="B590" s="31" t="n">
        <v>1178</v>
      </c>
      <c r="C590" s="31" t="n">
        <v>144632</v>
      </c>
      <c r="D590" s="31" t="s">
        <v>60</v>
      </c>
      <c r="E590" s="31" t="s">
        <v>64</v>
      </c>
      <c r="F590" s="31" t="n">
        <v>25</v>
      </c>
      <c r="G590" s="31" t="n">
        <v>123151</v>
      </c>
      <c r="H590" s="31" t="n">
        <v>24</v>
      </c>
      <c r="I590" s="32" t="n">
        <v>36.4400003</v>
      </c>
      <c r="J590" s="31" t="n">
        <v>2</v>
      </c>
      <c r="K590" s="31" t="n">
        <v>1</v>
      </c>
    </row>
    <row r="591" customFormat="false" ht="15" hidden="false" customHeight="false" outlineLevel="0" collapsed="false">
      <c r="A591" s="31" t="n">
        <v>1121660</v>
      </c>
      <c r="B591" s="31" t="n">
        <v>1178</v>
      </c>
      <c r="C591" s="31" t="n">
        <v>144633</v>
      </c>
      <c r="D591" s="31" t="s">
        <v>60</v>
      </c>
      <c r="E591" s="31" t="s">
        <v>64</v>
      </c>
      <c r="F591" s="31" t="n">
        <v>26</v>
      </c>
      <c r="G591" s="31" t="n">
        <v>24078</v>
      </c>
      <c r="H591" s="31" t="n">
        <v>4</v>
      </c>
      <c r="I591" s="32" t="n">
        <v>5.769999981</v>
      </c>
      <c r="J591" s="31" t="n">
        <v>1</v>
      </c>
      <c r="K591" s="31" t="n">
        <v>0</v>
      </c>
    </row>
    <row r="592" customFormat="false" ht="15" hidden="false" customHeight="false" outlineLevel="0" collapsed="false">
      <c r="A592" s="31" t="n">
        <v>1121661</v>
      </c>
      <c r="B592" s="31" t="n">
        <v>1178</v>
      </c>
      <c r="C592" s="31" t="n">
        <v>144634</v>
      </c>
      <c r="D592" s="31" t="s">
        <v>60</v>
      </c>
      <c r="E592" s="31" t="s">
        <v>64</v>
      </c>
      <c r="F592" s="31" t="n">
        <v>27</v>
      </c>
      <c r="G592" s="31" t="n">
        <v>517801</v>
      </c>
      <c r="H592" s="31" t="n">
        <v>105</v>
      </c>
      <c r="I592" s="32" t="n">
        <v>181.7200011</v>
      </c>
      <c r="J592" s="31" t="n">
        <v>3</v>
      </c>
      <c r="K592" s="31" t="n">
        <v>0</v>
      </c>
    </row>
    <row r="593" customFormat="false" ht="15" hidden="false" customHeight="false" outlineLevel="0" collapsed="false">
      <c r="A593" s="31" t="n">
        <v>1121662</v>
      </c>
      <c r="B593" s="31" t="n">
        <v>1178</v>
      </c>
      <c r="C593" s="31" t="n">
        <v>144634</v>
      </c>
      <c r="D593" s="31" t="s">
        <v>60</v>
      </c>
      <c r="E593" s="31" t="s">
        <v>64</v>
      </c>
      <c r="F593" s="31" t="n">
        <v>27</v>
      </c>
      <c r="G593" s="31" t="n">
        <v>145104</v>
      </c>
      <c r="H593" s="31" t="n">
        <v>25</v>
      </c>
      <c r="I593" s="32" t="n">
        <v>41.42000008</v>
      </c>
      <c r="J593" s="31" t="n">
        <v>2</v>
      </c>
      <c r="K593" s="31" t="n">
        <v>1</v>
      </c>
    </row>
    <row r="594" customFormat="false" ht="15" hidden="false" customHeight="false" outlineLevel="0" collapsed="false">
      <c r="A594" s="31" t="n">
        <v>1121664</v>
      </c>
      <c r="B594" s="31" t="n">
        <v>1178</v>
      </c>
      <c r="C594" s="31" t="n">
        <v>144634</v>
      </c>
      <c r="D594" s="31" t="s">
        <v>60</v>
      </c>
      <c r="E594" s="31" t="s">
        <v>64</v>
      </c>
      <c r="F594" s="31" t="n">
        <v>27</v>
      </c>
      <c r="G594" s="31" t="n">
        <v>179950</v>
      </c>
      <c r="H594" s="31" t="n">
        <v>35</v>
      </c>
      <c r="I594" s="32" t="n">
        <v>58.67999971</v>
      </c>
      <c r="J594" s="31" t="n">
        <v>1</v>
      </c>
      <c r="K594" s="31" t="n">
        <v>0</v>
      </c>
    </row>
    <row r="595" customFormat="false" ht="15" hidden="false" customHeight="false" outlineLevel="0" collapsed="false">
      <c r="A595" s="31" t="n">
        <v>1121665</v>
      </c>
      <c r="B595" s="31" t="n">
        <v>1178</v>
      </c>
      <c r="C595" s="31" t="n">
        <v>144634</v>
      </c>
      <c r="D595" s="31" t="s">
        <v>60</v>
      </c>
      <c r="E595" s="31" t="s">
        <v>64</v>
      </c>
      <c r="F595" s="31" t="n">
        <v>27</v>
      </c>
      <c r="G595" s="31" t="n">
        <v>258531</v>
      </c>
      <c r="H595" s="31" t="n">
        <v>46</v>
      </c>
      <c r="I595" s="32" t="n">
        <v>80.33999979</v>
      </c>
      <c r="J595" s="31" t="n">
        <v>2</v>
      </c>
      <c r="K595" s="31" t="n">
        <v>0</v>
      </c>
    </row>
    <row r="596" customFormat="false" ht="15" hidden="false" customHeight="false" outlineLevel="0" collapsed="false">
      <c r="A596" s="31" t="n">
        <v>1121666</v>
      </c>
      <c r="B596" s="31" t="n">
        <v>1178</v>
      </c>
      <c r="C596" s="31" t="n">
        <v>144634</v>
      </c>
      <c r="D596" s="31" t="s">
        <v>60</v>
      </c>
      <c r="E596" s="31" t="s">
        <v>64</v>
      </c>
      <c r="F596" s="31" t="n">
        <v>27</v>
      </c>
      <c r="G596" s="31" t="n">
        <v>272500</v>
      </c>
      <c r="H596" s="31" t="n">
        <v>62</v>
      </c>
      <c r="I596" s="32" t="n">
        <v>104.4599996</v>
      </c>
      <c r="J596" s="31" t="n">
        <v>3</v>
      </c>
      <c r="K596" s="31" t="n">
        <v>0</v>
      </c>
    </row>
    <row r="597" customFormat="false" ht="15" hidden="false" customHeight="false" outlineLevel="0" collapsed="false">
      <c r="A597" s="31" t="n">
        <v>1121667</v>
      </c>
      <c r="B597" s="31" t="n">
        <v>1178</v>
      </c>
      <c r="C597" s="31" t="n">
        <v>144635</v>
      </c>
      <c r="D597" s="31" t="s">
        <v>60</v>
      </c>
      <c r="E597" s="31" t="s">
        <v>64</v>
      </c>
      <c r="F597" s="31" t="n">
        <v>28</v>
      </c>
      <c r="G597" s="31" t="n">
        <v>273197</v>
      </c>
      <c r="H597" s="31" t="n">
        <v>57</v>
      </c>
      <c r="I597" s="32" t="n">
        <v>87.7300005</v>
      </c>
      <c r="J597" s="31" t="n">
        <v>3</v>
      </c>
      <c r="K597" s="31" t="n">
        <v>0</v>
      </c>
    </row>
    <row r="598" customFormat="false" ht="15" hidden="false" customHeight="false" outlineLevel="0" collapsed="false">
      <c r="A598" s="31" t="n">
        <v>1121668</v>
      </c>
      <c r="B598" s="31" t="n">
        <v>1178</v>
      </c>
      <c r="C598" s="31" t="n">
        <v>144635</v>
      </c>
      <c r="D598" s="31" t="s">
        <v>60</v>
      </c>
      <c r="E598" s="31" t="s">
        <v>64</v>
      </c>
      <c r="F598" s="31" t="n">
        <v>28</v>
      </c>
      <c r="G598" s="31" t="n">
        <v>775904</v>
      </c>
      <c r="H598" s="31" t="n">
        <v>172</v>
      </c>
      <c r="I598" s="32" t="n">
        <v>253.990002</v>
      </c>
      <c r="J598" s="31" t="n">
        <v>4</v>
      </c>
      <c r="K598" s="31" t="n">
        <v>2</v>
      </c>
    </row>
    <row r="599" customFormat="false" ht="15" hidden="false" customHeight="false" outlineLevel="0" collapsed="false">
      <c r="A599" s="31" t="n">
        <v>1121669</v>
      </c>
      <c r="B599" s="31" t="n">
        <v>1178</v>
      </c>
      <c r="C599" s="31" t="n">
        <v>144635</v>
      </c>
      <c r="D599" s="31" t="s">
        <v>60</v>
      </c>
      <c r="E599" s="31" t="s">
        <v>64</v>
      </c>
      <c r="F599" s="31" t="n">
        <v>28</v>
      </c>
      <c r="G599" s="31" t="n">
        <v>120251</v>
      </c>
      <c r="H599" s="31" t="n">
        <v>26</v>
      </c>
      <c r="I599" s="32" t="n">
        <v>39.44000006</v>
      </c>
      <c r="J599" s="31" t="n">
        <v>1</v>
      </c>
      <c r="K599" s="31" t="n">
        <v>0</v>
      </c>
    </row>
    <row r="600" customFormat="false" ht="15" hidden="false" customHeight="false" outlineLevel="0" collapsed="false">
      <c r="A600" s="31" t="n">
        <v>1121671</v>
      </c>
      <c r="B600" s="31" t="n">
        <v>1178</v>
      </c>
      <c r="C600" s="31" t="n">
        <v>144635</v>
      </c>
      <c r="D600" s="31" t="s">
        <v>60</v>
      </c>
      <c r="E600" s="31" t="s">
        <v>64</v>
      </c>
      <c r="F600" s="31" t="n">
        <v>28</v>
      </c>
      <c r="G600" s="31" t="n">
        <v>139406</v>
      </c>
      <c r="H600" s="31" t="n">
        <v>24</v>
      </c>
      <c r="I600" s="32" t="n">
        <v>39.04999948</v>
      </c>
      <c r="J600" s="31" t="n">
        <v>1</v>
      </c>
      <c r="K600" s="31" t="n">
        <v>0</v>
      </c>
    </row>
    <row r="601" customFormat="false" ht="15" hidden="false" customHeight="false" outlineLevel="0" collapsed="false">
      <c r="A601" s="31" t="n">
        <v>1121672</v>
      </c>
      <c r="B601" s="31" t="n">
        <v>1178</v>
      </c>
      <c r="C601" s="31" t="n">
        <v>144635</v>
      </c>
      <c r="D601" s="31" t="s">
        <v>60</v>
      </c>
      <c r="E601" s="31" t="s">
        <v>64</v>
      </c>
      <c r="F601" s="31" t="n">
        <v>28</v>
      </c>
      <c r="G601" s="31" t="n">
        <v>60314</v>
      </c>
      <c r="H601" s="31" t="n">
        <v>11</v>
      </c>
      <c r="I601" s="32" t="n">
        <v>16.93999958</v>
      </c>
      <c r="J601" s="31" t="n">
        <v>2</v>
      </c>
      <c r="K601" s="31" t="n">
        <v>1</v>
      </c>
    </row>
    <row r="602" customFormat="false" ht="15" hidden="false" customHeight="false" outlineLevel="0" collapsed="false">
      <c r="A602" s="31" t="n">
        <v>1121673</v>
      </c>
      <c r="B602" s="31" t="n">
        <v>1178</v>
      </c>
      <c r="C602" s="31" t="n">
        <v>144636</v>
      </c>
      <c r="D602" s="31" t="s">
        <v>60</v>
      </c>
      <c r="E602" s="31" t="s">
        <v>64</v>
      </c>
      <c r="F602" s="31" t="n">
        <v>29</v>
      </c>
      <c r="G602" s="31" t="n">
        <v>563074</v>
      </c>
      <c r="H602" s="31" t="n">
        <v>86</v>
      </c>
      <c r="I602" s="32" t="n">
        <v>142.7099985</v>
      </c>
      <c r="J602" s="31" t="n">
        <v>4</v>
      </c>
      <c r="K602" s="31" t="n">
        <v>2</v>
      </c>
    </row>
    <row r="603" customFormat="false" ht="15" hidden="false" customHeight="false" outlineLevel="0" collapsed="false">
      <c r="A603" s="31" t="n">
        <v>1121674</v>
      </c>
      <c r="B603" s="31" t="n">
        <v>1178</v>
      </c>
      <c r="C603" s="31" t="n">
        <v>144636</v>
      </c>
      <c r="D603" s="31" t="s">
        <v>60</v>
      </c>
      <c r="E603" s="31" t="s">
        <v>64</v>
      </c>
      <c r="F603" s="31" t="n">
        <v>29</v>
      </c>
      <c r="G603" s="31" t="n">
        <v>168655</v>
      </c>
      <c r="H603" s="31" t="n">
        <v>18</v>
      </c>
      <c r="I603" s="32" t="n">
        <v>27.29999983</v>
      </c>
      <c r="J603" s="31" t="n">
        <v>2</v>
      </c>
      <c r="K603" s="31" t="n">
        <v>0</v>
      </c>
    </row>
    <row r="604" customFormat="false" ht="15" hidden="false" customHeight="false" outlineLevel="0" collapsed="false">
      <c r="A604" s="31" t="n">
        <v>1121675</v>
      </c>
      <c r="B604" s="31" t="n">
        <v>1178</v>
      </c>
      <c r="C604" s="31" t="n">
        <v>144636</v>
      </c>
      <c r="D604" s="31" t="s">
        <v>60</v>
      </c>
      <c r="E604" s="31" t="s">
        <v>64</v>
      </c>
      <c r="F604" s="31" t="n">
        <v>29</v>
      </c>
      <c r="G604" s="31" t="n">
        <v>111963</v>
      </c>
      <c r="H604" s="31" t="n">
        <v>17</v>
      </c>
      <c r="I604" s="32" t="n">
        <v>29.3799994</v>
      </c>
      <c r="J604" s="31" t="n">
        <v>2</v>
      </c>
      <c r="K604" s="31" t="n">
        <v>1</v>
      </c>
    </row>
    <row r="605" customFormat="false" ht="15" hidden="false" customHeight="false" outlineLevel="0" collapsed="false">
      <c r="A605" s="31" t="n">
        <v>1121676</v>
      </c>
      <c r="B605" s="31" t="n">
        <v>1178</v>
      </c>
      <c r="C605" s="31" t="n">
        <v>144636</v>
      </c>
      <c r="D605" s="31" t="s">
        <v>60</v>
      </c>
      <c r="E605" s="31" t="s">
        <v>64</v>
      </c>
      <c r="F605" s="31" t="n">
        <v>29</v>
      </c>
      <c r="G605" s="31" t="n">
        <v>1026304</v>
      </c>
      <c r="H605" s="31" t="n">
        <v>168</v>
      </c>
      <c r="I605" s="32" t="n">
        <v>277.5799986</v>
      </c>
      <c r="J605" s="31" t="n">
        <v>17</v>
      </c>
      <c r="K605" s="31" t="n">
        <v>8</v>
      </c>
    </row>
    <row r="606" customFormat="false" ht="15" hidden="false" customHeight="false" outlineLevel="0" collapsed="false">
      <c r="A606" s="31" t="n">
        <v>1121677</v>
      </c>
      <c r="B606" s="31" t="n">
        <v>1178</v>
      </c>
      <c r="C606" s="31" t="n">
        <v>144636</v>
      </c>
      <c r="D606" s="31" t="s">
        <v>60</v>
      </c>
      <c r="E606" s="31" t="s">
        <v>64</v>
      </c>
      <c r="F606" s="31" t="n">
        <v>29</v>
      </c>
      <c r="G606" s="31" t="n">
        <v>1391924</v>
      </c>
      <c r="H606" s="31" t="n">
        <v>258</v>
      </c>
      <c r="I606" s="32" t="n">
        <v>422.8400038</v>
      </c>
      <c r="J606" s="31" t="n">
        <v>17</v>
      </c>
      <c r="K606" s="31" t="n">
        <v>10</v>
      </c>
    </row>
    <row r="607" customFormat="false" ht="15" hidden="false" customHeight="false" outlineLevel="0" collapsed="false">
      <c r="A607" s="31" t="n">
        <v>1121678</v>
      </c>
      <c r="B607" s="31" t="n">
        <v>1178</v>
      </c>
      <c r="C607" s="31" t="n">
        <v>144636</v>
      </c>
      <c r="D607" s="31" t="s">
        <v>60</v>
      </c>
      <c r="E607" s="31" t="s">
        <v>64</v>
      </c>
      <c r="F607" s="31" t="n">
        <v>29</v>
      </c>
      <c r="G607" s="31" t="n">
        <v>147551</v>
      </c>
      <c r="H607" s="31" t="n">
        <v>22</v>
      </c>
      <c r="I607" s="32" t="n">
        <v>38.50000083</v>
      </c>
      <c r="J607" s="31" t="n">
        <v>1</v>
      </c>
      <c r="K607" s="31" t="n">
        <v>0</v>
      </c>
    </row>
    <row r="608" customFormat="false" ht="15" hidden="false" customHeight="false" outlineLevel="0" collapsed="false">
      <c r="A608" s="31" t="n">
        <v>1121685</v>
      </c>
      <c r="B608" s="31" t="n">
        <v>1178</v>
      </c>
      <c r="C608" s="31" t="n">
        <v>144638</v>
      </c>
      <c r="D608" s="31" t="s">
        <v>60</v>
      </c>
      <c r="E608" s="31" t="s">
        <v>64</v>
      </c>
      <c r="F608" s="31" t="n">
        <v>31</v>
      </c>
      <c r="G608" s="31" t="n">
        <v>66794</v>
      </c>
      <c r="H608" s="31" t="n">
        <v>9</v>
      </c>
      <c r="I608" s="32" t="n">
        <v>17.3299998</v>
      </c>
      <c r="J608" s="31" t="n">
        <v>1</v>
      </c>
      <c r="K608" s="31" t="n">
        <v>1</v>
      </c>
    </row>
    <row r="609" customFormat="false" ht="15" hidden="false" customHeight="false" outlineLevel="0" collapsed="false">
      <c r="A609" s="31" t="n">
        <v>1121687</v>
      </c>
      <c r="B609" s="31" t="n">
        <v>1178</v>
      </c>
      <c r="C609" s="31" t="n">
        <v>144638</v>
      </c>
      <c r="D609" s="31" t="s">
        <v>60</v>
      </c>
      <c r="E609" s="31" t="s">
        <v>64</v>
      </c>
      <c r="F609" s="31" t="n">
        <v>31</v>
      </c>
      <c r="G609" s="31" t="n">
        <v>118882</v>
      </c>
      <c r="H609" s="31" t="n">
        <v>19</v>
      </c>
      <c r="I609" s="32" t="n">
        <v>32.30999994</v>
      </c>
      <c r="J609" s="31" t="n">
        <v>2</v>
      </c>
      <c r="K609" s="31" t="n">
        <v>1</v>
      </c>
    </row>
    <row r="610" customFormat="false" ht="15" hidden="false" customHeight="false" outlineLevel="0" collapsed="false">
      <c r="A610" s="31" t="n">
        <v>1121689</v>
      </c>
      <c r="B610" s="31" t="n">
        <v>1178</v>
      </c>
      <c r="C610" s="31" t="n">
        <v>144638</v>
      </c>
      <c r="D610" s="31" t="s">
        <v>60</v>
      </c>
      <c r="E610" s="31" t="s">
        <v>64</v>
      </c>
      <c r="F610" s="31" t="n">
        <v>31</v>
      </c>
      <c r="G610" s="31" t="n">
        <v>148010</v>
      </c>
      <c r="H610" s="31" t="n">
        <v>24</v>
      </c>
      <c r="I610" s="32" t="n">
        <v>41.96999943</v>
      </c>
      <c r="J610" s="31" t="n">
        <v>1</v>
      </c>
      <c r="K610" s="31" t="n">
        <v>0</v>
      </c>
    </row>
    <row r="611" customFormat="false" ht="15" hidden="false" customHeight="false" outlineLevel="0" collapsed="false">
      <c r="A611" s="31" t="n">
        <v>1121691</v>
      </c>
      <c r="B611" s="31" t="n">
        <v>1178</v>
      </c>
      <c r="C611" s="31" t="n">
        <v>144639</v>
      </c>
      <c r="D611" s="31" t="s">
        <v>60</v>
      </c>
      <c r="E611" s="31" t="s">
        <v>64</v>
      </c>
      <c r="F611" s="31" t="n">
        <v>32</v>
      </c>
      <c r="G611" s="31" t="n">
        <v>932890</v>
      </c>
      <c r="H611" s="31" t="n">
        <v>197</v>
      </c>
      <c r="I611" s="32" t="n">
        <v>352.4499989</v>
      </c>
      <c r="J611" s="31" t="n">
        <v>3</v>
      </c>
      <c r="K611" s="31" t="n">
        <v>1</v>
      </c>
    </row>
    <row r="612" customFormat="false" ht="15" hidden="false" customHeight="false" outlineLevel="0" collapsed="false">
      <c r="A612" s="31" t="n">
        <v>1121692</v>
      </c>
      <c r="B612" s="31" t="n">
        <v>1178</v>
      </c>
      <c r="C612" s="31" t="n">
        <v>144639</v>
      </c>
      <c r="D612" s="31" t="s">
        <v>60</v>
      </c>
      <c r="E612" s="31" t="s">
        <v>64</v>
      </c>
      <c r="F612" s="31" t="n">
        <v>32</v>
      </c>
      <c r="G612" s="31" t="n">
        <v>718359</v>
      </c>
      <c r="H612" s="31" t="n">
        <v>147</v>
      </c>
      <c r="I612" s="32" t="n">
        <v>264.5899997</v>
      </c>
      <c r="J612" s="31" t="n">
        <v>4</v>
      </c>
      <c r="K612" s="31" t="n">
        <v>1</v>
      </c>
    </row>
    <row r="613" customFormat="false" ht="15" hidden="false" customHeight="false" outlineLevel="0" collapsed="false">
      <c r="A613" s="31" t="n">
        <v>1121693</v>
      </c>
      <c r="B613" s="31" t="n">
        <v>1178</v>
      </c>
      <c r="C613" s="31" t="n">
        <v>144639</v>
      </c>
      <c r="D613" s="31" t="s">
        <v>60</v>
      </c>
      <c r="E613" s="31" t="s">
        <v>64</v>
      </c>
      <c r="F613" s="31" t="n">
        <v>32</v>
      </c>
      <c r="G613" s="31" t="n">
        <v>433658</v>
      </c>
      <c r="H613" s="31" t="n">
        <v>82</v>
      </c>
      <c r="I613" s="32" t="n">
        <v>158.5999998</v>
      </c>
      <c r="J613" s="31" t="n">
        <v>5</v>
      </c>
      <c r="K613" s="31" t="n">
        <v>2</v>
      </c>
    </row>
    <row r="614" customFormat="false" ht="15" hidden="false" customHeight="false" outlineLevel="0" collapsed="false">
      <c r="A614" s="31" t="n">
        <v>1121695</v>
      </c>
      <c r="B614" s="31" t="n">
        <v>1178</v>
      </c>
      <c r="C614" s="31" t="n">
        <v>144639</v>
      </c>
      <c r="D614" s="31" t="s">
        <v>60</v>
      </c>
      <c r="E614" s="31" t="s">
        <v>64</v>
      </c>
      <c r="F614" s="31" t="n">
        <v>32</v>
      </c>
      <c r="G614" s="31" t="n">
        <v>29455</v>
      </c>
      <c r="H614" s="31" t="n">
        <v>3</v>
      </c>
      <c r="I614" s="32" t="n">
        <v>4.769999981</v>
      </c>
      <c r="J614" s="31" t="n">
        <v>1</v>
      </c>
      <c r="K614" s="31" t="n">
        <v>0</v>
      </c>
    </row>
    <row r="615" customFormat="false" ht="15" hidden="false" customHeight="false" outlineLevel="0" collapsed="false">
      <c r="A615" s="31" t="n">
        <v>1121701</v>
      </c>
      <c r="B615" s="31" t="n">
        <v>1178</v>
      </c>
      <c r="C615" s="31" t="n">
        <v>144640</v>
      </c>
      <c r="D615" s="31" t="s">
        <v>60</v>
      </c>
      <c r="E615" s="31" t="s">
        <v>64</v>
      </c>
      <c r="F615" s="31" t="n">
        <v>36</v>
      </c>
      <c r="G615" s="31" t="n">
        <v>23973</v>
      </c>
      <c r="H615" s="31" t="n">
        <v>3</v>
      </c>
      <c r="I615" s="32" t="n">
        <v>4.820000052</v>
      </c>
      <c r="J615" s="31" t="n">
        <v>1</v>
      </c>
      <c r="K615" s="31" t="n">
        <v>1</v>
      </c>
    </row>
    <row r="616" customFormat="false" ht="15" hidden="false" customHeight="false" outlineLevel="0" collapsed="false">
      <c r="A616" s="31" t="n">
        <v>1121705</v>
      </c>
      <c r="B616" s="31" t="n">
        <v>1178</v>
      </c>
      <c r="C616" s="31" t="n">
        <v>144641</v>
      </c>
      <c r="D616" s="31" t="s">
        <v>60</v>
      </c>
      <c r="E616" s="31" t="s">
        <v>64</v>
      </c>
      <c r="F616" s="31" t="n">
        <v>63</v>
      </c>
      <c r="G616" s="31" t="n">
        <v>126480</v>
      </c>
      <c r="H616" s="31" t="n">
        <v>25</v>
      </c>
      <c r="I616" s="32" t="n">
        <v>37.25999999</v>
      </c>
      <c r="J616" s="31" t="n">
        <v>1</v>
      </c>
      <c r="K616" s="31" t="n">
        <v>1</v>
      </c>
    </row>
    <row r="617" customFormat="false" ht="15" hidden="false" customHeight="false" outlineLevel="0" collapsed="false">
      <c r="A617" s="31" t="n">
        <v>1121706</v>
      </c>
      <c r="B617" s="31" t="n">
        <v>1178</v>
      </c>
      <c r="C617" s="31" t="n">
        <v>144641</v>
      </c>
      <c r="D617" s="31" t="s">
        <v>60</v>
      </c>
      <c r="E617" s="31" t="s">
        <v>64</v>
      </c>
      <c r="F617" s="31" t="n">
        <v>63</v>
      </c>
      <c r="G617" s="31" t="n">
        <v>138959</v>
      </c>
      <c r="H617" s="31" t="n">
        <v>28</v>
      </c>
      <c r="I617" s="32" t="n">
        <v>39.5200007</v>
      </c>
      <c r="J617" s="31" t="n">
        <v>1</v>
      </c>
      <c r="K617" s="31" t="n">
        <v>0</v>
      </c>
    </row>
    <row r="618" customFormat="false" ht="15" hidden="false" customHeight="false" outlineLevel="0" collapsed="false">
      <c r="A618" s="31" t="n">
        <v>1121708</v>
      </c>
      <c r="B618" s="31" t="n">
        <v>1178</v>
      </c>
      <c r="C618" s="31" t="n">
        <v>144641</v>
      </c>
      <c r="D618" s="31" t="s">
        <v>60</v>
      </c>
      <c r="E618" s="31" t="s">
        <v>64</v>
      </c>
      <c r="F618" s="31" t="n">
        <v>63</v>
      </c>
      <c r="G618" s="31" t="n">
        <v>68829</v>
      </c>
      <c r="H618" s="31" t="n">
        <v>12</v>
      </c>
      <c r="I618" s="32" t="n">
        <v>19.47999978</v>
      </c>
      <c r="J618" s="31" t="n">
        <v>1</v>
      </c>
      <c r="K618" s="31" t="n">
        <v>0</v>
      </c>
    </row>
    <row r="619" customFormat="false" ht="15" hidden="false" customHeight="false" outlineLevel="0" collapsed="false">
      <c r="A619" s="31" t="n">
        <v>1121711</v>
      </c>
      <c r="B619" s="31" t="n">
        <v>1178</v>
      </c>
      <c r="C619" s="31" t="n">
        <v>144642</v>
      </c>
      <c r="D619" s="31" t="s">
        <v>60</v>
      </c>
      <c r="E619" s="31" t="s">
        <v>64</v>
      </c>
      <c r="F619" s="31" t="n">
        <v>64</v>
      </c>
      <c r="G619" s="31" t="n">
        <v>49916</v>
      </c>
      <c r="H619" s="31" t="n">
        <v>10</v>
      </c>
      <c r="I619" s="32" t="n">
        <v>16.38</v>
      </c>
      <c r="J619" s="31" t="n">
        <v>1</v>
      </c>
      <c r="K619" s="31" t="n">
        <v>1</v>
      </c>
    </row>
    <row r="620" customFormat="false" ht="15" hidden="false" customHeight="false" outlineLevel="0" collapsed="false">
      <c r="A620" s="31" t="n">
        <v>1121716</v>
      </c>
      <c r="B620" s="31" t="n">
        <v>1178</v>
      </c>
      <c r="C620" s="31" t="n">
        <v>144643</v>
      </c>
      <c r="D620" s="31" t="s">
        <v>60</v>
      </c>
      <c r="E620" s="31" t="s">
        <v>64</v>
      </c>
      <c r="F620" s="31" t="n">
        <v>65</v>
      </c>
      <c r="G620" s="31" t="n">
        <v>76014</v>
      </c>
      <c r="H620" s="31" t="n">
        <v>16</v>
      </c>
      <c r="I620" s="32" t="n">
        <v>22.67000031</v>
      </c>
      <c r="J620" s="31" t="n">
        <v>1</v>
      </c>
      <c r="K620" s="31" t="n">
        <v>1</v>
      </c>
    </row>
    <row r="621" customFormat="false" ht="15" hidden="false" customHeight="false" outlineLevel="0" collapsed="false">
      <c r="A621" s="31" t="n">
        <v>1121723</v>
      </c>
      <c r="B621" s="31" t="n">
        <v>1178</v>
      </c>
      <c r="C621" s="31" t="n">
        <v>144644</v>
      </c>
      <c r="D621" s="31" t="s">
        <v>60</v>
      </c>
      <c r="E621" s="31" t="s">
        <v>64</v>
      </c>
      <c r="F621" s="31" t="n">
        <v>2</v>
      </c>
      <c r="G621" s="31" t="n">
        <v>50947</v>
      </c>
      <c r="H621" s="31" t="n">
        <v>10</v>
      </c>
      <c r="I621" s="32" t="n">
        <v>15.99000025</v>
      </c>
      <c r="J621" s="31" t="n">
        <v>1</v>
      </c>
      <c r="K621" s="31" t="n">
        <v>0</v>
      </c>
    </row>
    <row r="622" customFormat="false" ht="15" hidden="false" customHeight="false" outlineLevel="0" collapsed="false">
      <c r="A622" s="31" t="n">
        <v>1121733</v>
      </c>
      <c r="B622" s="31" t="n">
        <v>1178</v>
      </c>
      <c r="C622" s="31" t="n">
        <v>144646</v>
      </c>
      <c r="D622" s="31" t="s">
        <v>60</v>
      </c>
      <c r="E622" s="31" t="s">
        <v>64</v>
      </c>
      <c r="F622" s="31" t="n">
        <v>66</v>
      </c>
      <c r="G622" s="31" t="n">
        <v>55536</v>
      </c>
      <c r="H622" s="31" t="n">
        <v>11</v>
      </c>
      <c r="I622" s="32" t="n">
        <v>17.04999995</v>
      </c>
      <c r="J622" s="31" t="n">
        <v>1</v>
      </c>
      <c r="K622" s="31" t="n">
        <v>0</v>
      </c>
    </row>
    <row r="623" customFormat="false" ht="15" hidden="false" customHeight="false" outlineLevel="0" collapsed="false">
      <c r="A623" s="31" t="n">
        <v>1121741</v>
      </c>
      <c r="B623" s="31" t="n">
        <v>1178</v>
      </c>
      <c r="C623" s="31" t="n">
        <v>144647</v>
      </c>
      <c r="D623" s="31" t="s">
        <v>57</v>
      </c>
      <c r="E623" s="31" t="s">
        <v>63</v>
      </c>
      <c r="F623" s="31" t="n">
        <v>10</v>
      </c>
      <c r="G623" s="31" t="n">
        <v>318042</v>
      </c>
      <c r="H623" s="31" t="n">
        <v>46</v>
      </c>
      <c r="I623" s="32" t="n">
        <v>64.40999997</v>
      </c>
      <c r="J623" s="31" t="n">
        <v>8</v>
      </c>
      <c r="K623" s="31" t="n">
        <v>4</v>
      </c>
    </row>
    <row r="624" customFormat="false" ht="15" hidden="false" customHeight="false" outlineLevel="0" collapsed="false">
      <c r="A624" s="31" t="n">
        <v>1121742</v>
      </c>
      <c r="B624" s="31" t="n">
        <v>1178</v>
      </c>
      <c r="C624" s="31" t="n">
        <v>144647</v>
      </c>
      <c r="D624" s="31" t="s">
        <v>57</v>
      </c>
      <c r="E624" s="31" t="s">
        <v>63</v>
      </c>
      <c r="F624" s="31" t="n">
        <v>10</v>
      </c>
      <c r="G624" s="31" t="n">
        <v>213016</v>
      </c>
      <c r="H624" s="31" t="n">
        <v>30</v>
      </c>
      <c r="I624" s="32" t="n">
        <v>44.21999955</v>
      </c>
      <c r="J624" s="31" t="n">
        <v>8</v>
      </c>
      <c r="K624" s="31" t="n">
        <v>2</v>
      </c>
    </row>
    <row r="625" customFormat="false" ht="15" hidden="false" customHeight="false" outlineLevel="0" collapsed="false">
      <c r="A625" s="31" t="n">
        <v>1121745</v>
      </c>
      <c r="B625" s="31" t="n">
        <v>1178</v>
      </c>
      <c r="C625" s="31" t="n">
        <v>144648</v>
      </c>
      <c r="D625" s="31" t="s">
        <v>57</v>
      </c>
      <c r="E625" s="31" t="s">
        <v>63</v>
      </c>
      <c r="F625" s="31" t="n">
        <v>15</v>
      </c>
      <c r="G625" s="31" t="n">
        <v>182265</v>
      </c>
      <c r="H625" s="31" t="n">
        <v>27</v>
      </c>
      <c r="I625" s="32" t="n">
        <v>38.18000007</v>
      </c>
      <c r="J625" s="31" t="n">
        <v>2</v>
      </c>
      <c r="K625" s="31" t="n">
        <v>1</v>
      </c>
    </row>
    <row r="626" customFormat="false" ht="15" hidden="false" customHeight="false" outlineLevel="0" collapsed="false">
      <c r="A626" s="31" t="n">
        <v>1121746</v>
      </c>
      <c r="B626" s="31" t="n">
        <v>1178</v>
      </c>
      <c r="C626" s="31" t="n">
        <v>144648</v>
      </c>
      <c r="D626" s="31" t="s">
        <v>57</v>
      </c>
      <c r="E626" s="31" t="s">
        <v>63</v>
      </c>
      <c r="F626" s="31" t="n">
        <v>15</v>
      </c>
      <c r="G626" s="31" t="n">
        <v>1117371</v>
      </c>
      <c r="H626" s="31" t="n">
        <v>177</v>
      </c>
      <c r="I626" s="32" t="n">
        <v>268.050002</v>
      </c>
      <c r="J626" s="31" t="n">
        <v>26</v>
      </c>
      <c r="K626" s="31" t="n">
        <v>5</v>
      </c>
    </row>
    <row r="627" customFormat="false" ht="15" hidden="false" customHeight="false" outlineLevel="0" collapsed="false">
      <c r="A627" s="31" t="n">
        <v>1121749</v>
      </c>
      <c r="B627" s="31" t="n">
        <v>1178</v>
      </c>
      <c r="C627" s="31" t="n">
        <v>144648</v>
      </c>
      <c r="D627" s="31" t="s">
        <v>57</v>
      </c>
      <c r="E627" s="31" t="s">
        <v>63</v>
      </c>
      <c r="F627" s="31" t="n">
        <v>15</v>
      </c>
      <c r="G627" s="31" t="n">
        <v>333345</v>
      </c>
      <c r="H627" s="31" t="n">
        <v>52</v>
      </c>
      <c r="I627" s="32" t="n">
        <v>77.59000027</v>
      </c>
      <c r="J627" s="31" t="n">
        <v>5</v>
      </c>
      <c r="K627" s="31" t="n">
        <v>1</v>
      </c>
    </row>
    <row r="628" customFormat="false" ht="15" hidden="false" customHeight="false" outlineLevel="0" collapsed="false">
      <c r="A628" s="31" t="n">
        <v>1121751</v>
      </c>
      <c r="B628" s="31" t="n">
        <v>1178</v>
      </c>
      <c r="C628" s="31" t="n">
        <v>144649</v>
      </c>
      <c r="D628" s="31" t="s">
        <v>57</v>
      </c>
      <c r="E628" s="31" t="s">
        <v>63</v>
      </c>
      <c r="F628" s="31" t="n">
        <v>16</v>
      </c>
      <c r="G628" s="31" t="n">
        <v>275930</v>
      </c>
      <c r="H628" s="31" t="n">
        <v>30</v>
      </c>
      <c r="I628" s="32" t="n">
        <v>46.77999997</v>
      </c>
      <c r="J628" s="31" t="n">
        <v>5</v>
      </c>
      <c r="K628" s="31" t="n">
        <v>2</v>
      </c>
    </row>
    <row r="629" customFormat="false" ht="15" hidden="false" customHeight="false" outlineLevel="0" collapsed="false">
      <c r="A629" s="31" t="n">
        <v>1121753</v>
      </c>
      <c r="B629" s="31" t="n">
        <v>1178</v>
      </c>
      <c r="C629" s="31" t="n">
        <v>144649</v>
      </c>
      <c r="D629" s="31" t="s">
        <v>57</v>
      </c>
      <c r="E629" s="31" t="s">
        <v>63</v>
      </c>
      <c r="F629" s="31" t="n">
        <v>16</v>
      </c>
      <c r="G629" s="31" t="n">
        <v>740631</v>
      </c>
      <c r="H629" s="31" t="n">
        <v>101</v>
      </c>
      <c r="I629" s="32" t="n">
        <v>153.1199975</v>
      </c>
      <c r="J629" s="31" t="n">
        <v>9</v>
      </c>
      <c r="K629" s="31" t="n">
        <v>1</v>
      </c>
    </row>
    <row r="630" customFormat="false" ht="15" hidden="false" customHeight="false" outlineLevel="0" collapsed="false">
      <c r="A630" s="31" t="n">
        <v>1121754</v>
      </c>
      <c r="B630" s="31" t="n">
        <v>1178</v>
      </c>
      <c r="C630" s="31" t="n">
        <v>144649</v>
      </c>
      <c r="D630" s="31" t="s">
        <v>57</v>
      </c>
      <c r="E630" s="31" t="s">
        <v>63</v>
      </c>
      <c r="F630" s="31" t="n">
        <v>16</v>
      </c>
      <c r="G630" s="31" t="n">
        <v>328272</v>
      </c>
      <c r="H630" s="31" t="n">
        <v>35</v>
      </c>
      <c r="I630" s="32" t="n">
        <v>55.99000025</v>
      </c>
      <c r="J630" s="31" t="n">
        <v>2</v>
      </c>
      <c r="K630" s="31" t="n">
        <v>1</v>
      </c>
    </row>
    <row r="631" customFormat="false" ht="15" hidden="false" customHeight="false" outlineLevel="0" collapsed="false">
      <c r="A631" s="31" t="n">
        <v>1121755</v>
      </c>
      <c r="B631" s="31" t="n">
        <v>1178</v>
      </c>
      <c r="C631" s="31" t="n">
        <v>144649</v>
      </c>
      <c r="D631" s="31" t="s">
        <v>57</v>
      </c>
      <c r="E631" s="31" t="s">
        <v>63</v>
      </c>
      <c r="F631" s="31" t="n">
        <v>16</v>
      </c>
      <c r="G631" s="31" t="n">
        <v>178455</v>
      </c>
      <c r="H631" s="31" t="n">
        <v>20</v>
      </c>
      <c r="I631" s="32" t="n">
        <v>31.5400002</v>
      </c>
      <c r="J631" s="31" t="n">
        <v>6</v>
      </c>
      <c r="K631" s="31" t="n">
        <v>3</v>
      </c>
    </row>
    <row r="632" customFormat="false" ht="15" hidden="false" customHeight="false" outlineLevel="0" collapsed="false">
      <c r="A632" s="31" t="n">
        <v>1121756</v>
      </c>
      <c r="B632" s="31" t="n">
        <v>1178</v>
      </c>
      <c r="C632" s="31" t="n">
        <v>144649</v>
      </c>
      <c r="D632" s="31" t="s">
        <v>57</v>
      </c>
      <c r="E632" s="31" t="s">
        <v>63</v>
      </c>
      <c r="F632" s="31" t="n">
        <v>16</v>
      </c>
      <c r="G632" s="31" t="n">
        <v>705712</v>
      </c>
      <c r="H632" s="31" t="n">
        <v>98</v>
      </c>
      <c r="I632" s="32" t="n">
        <v>147.339999</v>
      </c>
      <c r="J632" s="31" t="n">
        <v>6</v>
      </c>
      <c r="K632" s="31" t="n">
        <v>1</v>
      </c>
    </row>
    <row r="633" customFormat="false" ht="15" hidden="false" customHeight="false" outlineLevel="0" collapsed="false">
      <c r="A633" s="31" t="n">
        <v>1121758</v>
      </c>
      <c r="B633" s="31" t="n">
        <v>1178</v>
      </c>
      <c r="C633" s="31" t="n">
        <v>144650</v>
      </c>
      <c r="D633" s="31" t="s">
        <v>57</v>
      </c>
      <c r="E633" s="31" t="s">
        <v>63</v>
      </c>
      <c r="F633" s="31" t="n">
        <v>18</v>
      </c>
      <c r="G633" s="31" t="n">
        <v>690373</v>
      </c>
      <c r="H633" s="31" t="n">
        <v>91</v>
      </c>
      <c r="I633" s="32" t="n">
        <v>159.5700021</v>
      </c>
      <c r="J633" s="31" t="n">
        <v>5</v>
      </c>
      <c r="K633" s="31" t="n">
        <v>2</v>
      </c>
    </row>
    <row r="634" customFormat="false" ht="15" hidden="false" customHeight="false" outlineLevel="0" collapsed="false">
      <c r="A634" s="31" t="n">
        <v>1121759</v>
      </c>
      <c r="B634" s="31" t="n">
        <v>1178</v>
      </c>
      <c r="C634" s="31" t="n">
        <v>144650</v>
      </c>
      <c r="D634" s="31" t="s">
        <v>57</v>
      </c>
      <c r="E634" s="31" t="s">
        <v>63</v>
      </c>
      <c r="F634" s="31" t="n">
        <v>18</v>
      </c>
      <c r="G634" s="31" t="n">
        <v>515812</v>
      </c>
      <c r="H634" s="31" t="n">
        <v>69</v>
      </c>
      <c r="I634" s="32" t="n">
        <v>117.6299995</v>
      </c>
      <c r="J634" s="31" t="n">
        <v>3</v>
      </c>
      <c r="K634" s="31" t="n">
        <v>1</v>
      </c>
    </row>
    <row r="635" customFormat="false" ht="15" hidden="false" customHeight="false" outlineLevel="0" collapsed="false">
      <c r="A635" s="31" t="n">
        <v>1121760</v>
      </c>
      <c r="B635" s="31" t="n">
        <v>1178</v>
      </c>
      <c r="C635" s="31" t="n">
        <v>144650</v>
      </c>
      <c r="D635" s="31" t="s">
        <v>57</v>
      </c>
      <c r="E635" s="31" t="s">
        <v>63</v>
      </c>
      <c r="F635" s="31" t="n">
        <v>18</v>
      </c>
      <c r="G635" s="31" t="n">
        <v>764793</v>
      </c>
      <c r="H635" s="31" t="n">
        <v>101</v>
      </c>
      <c r="I635" s="32" t="n">
        <v>171.9799976</v>
      </c>
      <c r="J635" s="31" t="n">
        <v>4</v>
      </c>
      <c r="K635" s="31" t="n">
        <v>2</v>
      </c>
    </row>
    <row r="636" customFormat="false" ht="15" hidden="false" customHeight="false" outlineLevel="0" collapsed="false">
      <c r="A636" s="31" t="n">
        <v>1121763</v>
      </c>
      <c r="B636" s="31" t="n">
        <v>1178</v>
      </c>
      <c r="C636" s="31" t="n">
        <v>144651</v>
      </c>
      <c r="D636" s="31" t="s">
        <v>57</v>
      </c>
      <c r="E636" s="31" t="s">
        <v>63</v>
      </c>
      <c r="F636" s="31" t="n">
        <v>19</v>
      </c>
      <c r="G636" s="31" t="n">
        <v>87832</v>
      </c>
      <c r="H636" s="31" t="n">
        <v>11</v>
      </c>
      <c r="I636" s="32" t="n">
        <v>18.10000038</v>
      </c>
      <c r="J636" s="31" t="n">
        <v>1</v>
      </c>
      <c r="K636" s="31" t="n">
        <v>1</v>
      </c>
    </row>
    <row r="637" customFormat="false" ht="15" hidden="false" customHeight="false" outlineLevel="0" collapsed="false">
      <c r="A637" s="31" t="n">
        <v>1121764</v>
      </c>
      <c r="B637" s="31" t="n">
        <v>1178</v>
      </c>
      <c r="C637" s="31" t="n">
        <v>144651</v>
      </c>
      <c r="D637" s="31" t="s">
        <v>57</v>
      </c>
      <c r="E637" s="31" t="s">
        <v>63</v>
      </c>
      <c r="F637" s="31" t="n">
        <v>19</v>
      </c>
      <c r="G637" s="31" t="n">
        <v>23368</v>
      </c>
      <c r="H637" s="31" t="n">
        <v>3</v>
      </c>
      <c r="I637" s="32" t="n">
        <v>4.300000191</v>
      </c>
      <c r="J637" s="31" t="n">
        <v>1</v>
      </c>
      <c r="K637" s="31" t="n">
        <v>0</v>
      </c>
    </row>
    <row r="638" customFormat="false" ht="15" hidden="false" customHeight="false" outlineLevel="0" collapsed="false">
      <c r="A638" s="31" t="n">
        <v>1121765</v>
      </c>
      <c r="B638" s="31" t="n">
        <v>1178</v>
      </c>
      <c r="C638" s="31" t="n">
        <v>144651</v>
      </c>
      <c r="D638" s="31" t="s">
        <v>57</v>
      </c>
      <c r="E638" s="31" t="s">
        <v>63</v>
      </c>
      <c r="F638" s="31" t="n">
        <v>19</v>
      </c>
      <c r="G638" s="31" t="n">
        <v>51509</v>
      </c>
      <c r="H638" s="31" t="n">
        <v>7</v>
      </c>
      <c r="I638" s="32" t="n">
        <v>11.57000005</v>
      </c>
      <c r="J638" s="31" t="n">
        <v>1</v>
      </c>
      <c r="K638" s="31" t="n">
        <v>0</v>
      </c>
    </row>
    <row r="639" customFormat="false" ht="15" hidden="false" customHeight="false" outlineLevel="0" collapsed="false">
      <c r="A639" s="31" t="n">
        <v>1121767</v>
      </c>
      <c r="B639" s="31" t="n">
        <v>1178</v>
      </c>
      <c r="C639" s="31" t="n">
        <v>144651</v>
      </c>
      <c r="D639" s="31" t="s">
        <v>57</v>
      </c>
      <c r="E639" s="31" t="s">
        <v>63</v>
      </c>
      <c r="F639" s="31" t="n">
        <v>19</v>
      </c>
      <c r="G639" s="31" t="n">
        <v>87043</v>
      </c>
      <c r="H639" s="31" t="n">
        <v>16</v>
      </c>
      <c r="I639" s="32" t="n">
        <v>24.48000002</v>
      </c>
      <c r="J639" s="31" t="n">
        <v>2</v>
      </c>
      <c r="K639" s="31" t="n">
        <v>0</v>
      </c>
    </row>
    <row r="640" customFormat="false" ht="15" hidden="false" customHeight="false" outlineLevel="0" collapsed="false">
      <c r="A640" s="31" t="n">
        <v>1121768</v>
      </c>
      <c r="B640" s="31" t="n">
        <v>1178</v>
      </c>
      <c r="C640" s="31" t="n">
        <v>144651</v>
      </c>
      <c r="D640" s="31" t="s">
        <v>57</v>
      </c>
      <c r="E640" s="31" t="s">
        <v>63</v>
      </c>
      <c r="F640" s="31" t="n">
        <v>19</v>
      </c>
      <c r="G640" s="31" t="n">
        <v>565565</v>
      </c>
      <c r="H640" s="31" t="n">
        <v>113</v>
      </c>
      <c r="I640" s="32" t="n">
        <v>169.6699982</v>
      </c>
      <c r="J640" s="31" t="n">
        <v>7</v>
      </c>
      <c r="K640" s="31" t="n">
        <v>4</v>
      </c>
    </row>
    <row r="641" customFormat="false" ht="15" hidden="false" customHeight="false" outlineLevel="0" collapsed="false">
      <c r="A641" s="31" t="n">
        <v>1121769</v>
      </c>
      <c r="B641" s="31" t="n">
        <v>1178</v>
      </c>
      <c r="C641" s="31" t="n">
        <v>144652</v>
      </c>
      <c r="D641" s="31" t="s">
        <v>57</v>
      </c>
      <c r="E641" s="31" t="s">
        <v>63</v>
      </c>
      <c r="F641" s="31" t="n">
        <v>20</v>
      </c>
      <c r="G641" s="31" t="n">
        <v>253758</v>
      </c>
      <c r="H641" s="31" t="n">
        <v>43</v>
      </c>
      <c r="I641" s="32" t="n">
        <v>62.14000034</v>
      </c>
      <c r="J641" s="31" t="n">
        <v>4</v>
      </c>
      <c r="K641" s="31" t="n">
        <v>1</v>
      </c>
    </row>
    <row r="642" customFormat="false" ht="15" hidden="false" customHeight="false" outlineLevel="0" collapsed="false">
      <c r="A642" s="31" t="n">
        <v>1121773</v>
      </c>
      <c r="B642" s="31" t="n">
        <v>1178</v>
      </c>
      <c r="C642" s="31" t="n">
        <v>144652</v>
      </c>
      <c r="D642" s="31" t="s">
        <v>57</v>
      </c>
      <c r="E642" s="31" t="s">
        <v>63</v>
      </c>
      <c r="F642" s="31" t="n">
        <v>20</v>
      </c>
      <c r="G642" s="31" t="n">
        <v>319131</v>
      </c>
      <c r="H642" s="31" t="n">
        <v>51</v>
      </c>
      <c r="I642" s="32" t="n">
        <v>76.68000025</v>
      </c>
      <c r="J642" s="31" t="n">
        <v>6</v>
      </c>
      <c r="K642" s="31" t="n">
        <v>1</v>
      </c>
    </row>
    <row r="643" customFormat="false" ht="15" hidden="false" customHeight="false" outlineLevel="0" collapsed="false">
      <c r="A643" s="31" t="n">
        <v>1121774</v>
      </c>
      <c r="B643" s="31" t="n">
        <v>1178</v>
      </c>
      <c r="C643" s="31" t="n">
        <v>144652</v>
      </c>
      <c r="D643" s="31" t="s">
        <v>57</v>
      </c>
      <c r="E643" s="31" t="s">
        <v>63</v>
      </c>
      <c r="F643" s="31" t="n">
        <v>20</v>
      </c>
      <c r="G643" s="31" t="n">
        <v>670608</v>
      </c>
      <c r="H643" s="31" t="n">
        <v>130</v>
      </c>
      <c r="I643" s="32" t="n">
        <v>195.1499978</v>
      </c>
      <c r="J643" s="31" t="n">
        <v>11</v>
      </c>
      <c r="K643" s="31" t="n">
        <v>3</v>
      </c>
    </row>
    <row r="644" customFormat="false" ht="15" hidden="false" customHeight="false" outlineLevel="0" collapsed="false">
      <c r="A644" s="31" t="n">
        <v>1121775</v>
      </c>
      <c r="B644" s="31" t="n">
        <v>1178</v>
      </c>
      <c r="C644" s="31" t="n">
        <v>144653</v>
      </c>
      <c r="D644" s="31" t="s">
        <v>57</v>
      </c>
      <c r="E644" s="31" t="s">
        <v>63</v>
      </c>
      <c r="F644" s="31" t="n">
        <v>21</v>
      </c>
      <c r="G644" s="31" t="n">
        <v>159123</v>
      </c>
      <c r="H644" s="31" t="n">
        <v>25</v>
      </c>
      <c r="I644" s="32" t="n">
        <v>38.36000013</v>
      </c>
      <c r="J644" s="31" t="n">
        <v>5</v>
      </c>
      <c r="K644" s="31" t="n">
        <v>3</v>
      </c>
    </row>
    <row r="645" customFormat="false" ht="15" hidden="false" customHeight="false" outlineLevel="0" collapsed="false">
      <c r="A645" s="31" t="n">
        <v>1121776</v>
      </c>
      <c r="B645" s="31" t="n">
        <v>1178</v>
      </c>
      <c r="C645" s="31" t="n">
        <v>144653</v>
      </c>
      <c r="D645" s="31" t="s">
        <v>57</v>
      </c>
      <c r="E645" s="31" t="s">
        <v>63</v>
      </c>
      <c r="F645" s="31" t="n">
        <v>21</v>
      </c>
      <c r="G645" s="31" t="n">
        <v>103709</v>
      </c>
      <c r="H645" s="31" t="n">
        <v>15</v>
      </c>
      <c r="I645" s="32" t="n">
        <v>24.56999969</v>
      </c>
      <c r="J645" s="31" t="n">
        <v>3</v>
      </c>
      <c r="K645" s="31" t="n">
        <v>1</v>
      </c>
    </row>
    <row r="646" customFormat="false" ht="15" hidden="false" customHeight="false" outlineLevel="0" collapsed="false">
      <c r="A646" s="31" t="n">
        <v>1121779</v>
      </c>
      <c r="B646" s="31" t="n">
        <v>1178</v>
      </c>
      <c r="C646" s="31" t="n">
        <v>144653</v>
      </c>
      <c r="D646" s="31" t="s">
        <v>57</v>
      </c>
      <c r="E646" s="31" t="s">
        <v>63</v>
      </c>
      <c r="F646" s="31" t="n">
        <v>21</v>
      </c>
      <c r="G646" s="31" t="n">
        <v>271589</v>
      </c>
      <c r="H646" s="31" t="n">
        <v>45</v>
      </c>
      <c r="I646" s="32" t="n">
        <v>74.41000032</v>
      </c>
      <c r="J646" s="31" t="n">
        <v>9</v>
      </c>
      <c r="K646" s="31" t="n">
        <v>3</v>
      </c>
    </row>
    <row r="647" customFormat="false" ht="15" hidden="false" customHeight="false" outlineLevel="0" collapsed="false">
      <c r="A647" s="31" t="n">
        <v>1121780</v>
      </c>
      <c r="B647" s="31" t="n">
        <v>1178</v>
      </c>
      <c r="C647" s="31" t="n">
        <v>144653</v>
      </c>
      <c r="D647" s="31" t="s">
        <v>57</v>
      </c>
      <c r="E647" s="31" t="s">
        <v>63</v>
      </c>
      <c r="F647" s="31" t="n">
        <v>21</v>
      </c>
      <c r="G647" s="31" t="n">
        <v>119772</v>
      </c>
      <c r="H647" s="31" t="n">
        <v>20</v>
      </c>
      <c r="I647" s="32" t="n">
        <v>33.46999907</v>
      </c>
      <c r="J647" s="31" t="n">
        <v>5</v>
      </c>
      <c r="K647" s="31" t="n">
        <v>2</v>
      </c>
    </row>
    <row r="648" customFormat="false" ht="15" hidden="false" customHeight="false" outlineLevel="0" collapsed="false">
      <c r="A648" s="31" t="n">
        <v>1121782</v>
      </c>
      <c r="B648" s="31" t="n">
        <v>1178</v>
      </c>
      <c r="C648" s="31" t="n">
        <v>144654</v>
      </c>
      <c r="D648" s="31" t="s">
        <v>57</v>
      </c>
      <c r="E648" s="31" t="s">
        <v>63</v>
      </c>
      <c r="F648" s="31" t="n">
        <v>22</v>
      </c>
      <c r="G648" s="31" t="n">
        <v>26340</v>
      </c>
      <c r="H648" s="31" t="n">
        <v>3</v>
      </c>
      <c r="I648" s="32" t="n">
        <v>4.220000029</v>
      </c>
      <c r="J648" s="31" t="n">
        <v>1</v>
      </c>
      <c r="K648" s="31" t="n">
        <v>1</v>
      </c>
    </row>
    <row r="649" customFormat="false" ht="15" hidden="false" customHeight="false" outlineLevel="0" collapsed="false">
      <c r="A649" s="31" t="n">
        <v>1121783</v>
      </c>
      <c r="B649" s="31" t="n">
        <v>1178</v>
      </c>
      <c r="C649" s="31" t="n">
        <v>144654</v>
      </c>
      <c r="D649" s="31" t="s">
        <v>57</v>
      </c>
      <c r="E649" s="31" t="s">
        <v>63</v>
      </c>
      <c r="F649" s="31" t="n">
        <v>22</v>
      </c>
      <c r="G649" s="31" t="n">
        <v>594968</v>
      </c>
      <c r="H649" s="31" t="n">
        <v>111</v>
      </c>
      <c r="I649" s="32" t="n">
        <v>147.6700006</v>
      </c>
      <c r="J649" s="31" t="n">
        <v>4</v>
      </c>
      <c r="K649" s="31" t="n">
        <v>0</v>
      </c>
    </row>
    <row r="650" customFormat="false" ht="15" hidden="false" customHeight="false" outlineLevel="0" collapsed="false">
      <c r="A650" s="31" t="n">
        <v>1121793</v>
      </c>
      <c r="B650" s="31" t="n">
        <v>1178</v>
      </c>
      <c r="C650" s="31" t="n">
        <v>144656</v>
      </c>
      <c r="D650" s="31" t="s">
        <v>57</v>
      </c>
      <c r="E650" s="31" t="s">
        <v>63</v>
      </c>
      <c r="F650" s="31" t="n">
        <v>24</v>
      </c>
      <c r="G650" s="31" t="n">
        <v>185665</v>
      </c>
      <c r="H650" s="31" t="n">
        <v>39</v>
      </c>
      <c r="I650" s="32" t="n">
        <v>62.14000058</v>
      </c>
      <c r="J650" s="31" t="n">
        <v>1</v>
      </c>
      <c r="K650" s="31" t="n">
        <v>0</v>
      </c>
    </row>
    <row r="651" customFormat="false" ht="15" hidden="false" customHeight="false" outlineLevel="0" collapsed="false">
      <c r="A651" s="31" t="n">
        <v>1121795</v>
      </c>
      <c r="B651" s="31" t="n">
        <v>1178</v>
      </c>
      <c r="C651" s="31" t="n">
        <v>144656</v>
      </c>
      <c r="D651" s="31" t="s">
        <v>57</v>
      </c>
      <c r="E651" s="31" t="s">
        <v>63</v>
      </c>
      <c r="F651" s="31" t="n">
        <v>24</v>
      </c>
      <c r="G651" s="31" t="n">
        <v>24959</v>
      </c>
      <c r="H651" s="31" t="n">
        <v>3</v>
      </c>
      <c r="I651" s="32" t="n">
        <v>4.560000062</v>
      </c>
      <c r="J651" s="31" t="n">
        <v>1</v>
      </c>
      <c r="K651" s="31" t="n">
        <v>1</v>
      </c>
    </row>
    <row r="652" customFormat="false" ht="15" hidden="false" customHeight="false" outlineLevel="0" collapsed="false">
      <c r="A652" s="31" t="n">
        <v>1121796</v>
      </c>
      <c r="B652" s="31" t="n">
        <v>1178</v>
      </c>
      <c r="C652" s="31" t="n">
        <v>144656</v>
      </c>
      <c r="D652" s="31" t="s">
        <v>57</v>
      </c>
      <c r="E652" s="31" t="s">
        <v>63</v>
      </c>
      <c r="F652" s="31" t="n">
        <v>24</v>
      </c>
      <c r="G652" s="31" t="n">
        <v>136967</v>
      </c>
      <c r="H652" s="31" t="n">
        <v>23</v>
      </c>
      <c r="I652" s="32" t="n">
        <v>35.05999982</v>
      </c>
      <c r="J652" s="31" t="n">
        <v>3</v>
      </c>
      <c r="K652" s="31" t="n">
        <v>1</v>
      </c>
    </row>
    <row r="653" customFormat="false" ht="15" hidden="false" customHeight="false" outlineLevel="0" collapsed="false">
      <c r="A653" s="31" t="n">
        <v>1121798</v>
      </c>
      <c r="B653" s="31" t="n">
        <v>1178</v>
      </c>
      <c r="C653" s="31" t="n">
        <v>144656</v>
      </c>
      <c r="D653" s="31" t="s">
        <v>57</v>
      </c>
      <c r="E653" s="31" t="s">
        <v>63</v>
      </c>
      <c r="F653" s="31" t="n">
        <v>24</v>
      </c>
      <c r="G653" s="31" t="n">
        <v>107548</v>
      </c>
      <c r="H653" s="31" t="n">
        <v>19</v>
      </c>
      <c r="I653" s="32" t="n">
        <v>29.31000018</v>
      </c>
      <c r="J653" s="31" t="n">
        <v>1</v>
      </c>
      <c r="K653" s="31" t="n">
        <v>0</v>
      </c>
    </row>
    <row r="654" customFormat="false" ht="15" hidden="false" customHeight="false" outlineLevel="0" collapsed="false">
      <c r="A654" s="31" t="n">
        <v>1121803</v>
      </c>
      <c r="B654" s="31" t="n">
        <v>1178</v>
      </c>
      <c r="C654" s="31" t="n">
        <v>144657</v>
      </c>
      <c r="D654" s="31" t="s">
        <v>57</v>
      </c>
      <c r="E654" s="31" t="s">
        <v>63</v>
      </c>
      <c r="F654" s="31" t="n">
        <v>25</v>
      </c>
      <c r="G654" s="31" t="n">
        <v>588617</v>
      </c>
      <c r="H654" s="31" t="n">
        <v>119</v>
      </c>
      <c r="I654" s="32" t="n">
        <v>169.9199973</v>
      </c>
      <c r="J654" s="31" t="n">
        <v>2</v>
      </c>
      <c r="K654" s="31" t="n">
        <v>0</v>
      </c>
    </row>
    <row r="655" customFormat="false" ht="15" hidden="false" customHeight="false" outlineLevel="0" collapsed="false">
      <c r="A655" s="31" t="n">
        <v>1121806</v>
      </c>
      <c r="B655" s="31" t="n">
        <v>1178</v>
      </c>
      <c r="C655" s="31" t="n">
        <v>144658</v>
      </c>
      <c r="D655" s="31" t="s">
        <v>57</v>
      </c>
      <c r="E655" s="31" t="s">
        <v>63</v>
      </c>
      <c r="F655" s="31" t="n">
        <v>26</v>
      </c>
      <c r="G655" s="31" t="n">
        <v>190560</v>
      </c>
      <c r="H655" s="31" t="n">
        <v>26</v>
      </c>
      <c r="I655" s="32" t="n">
        <v>41.63</v>
      </c>
      <c r="J655" s="31" t="n">
        <v>3</v>
      </c>
      <c r="K655" s="31" t="n">
        <v>1</v>
      </c>
    </row>
    <row r="656" customFormat="false" ht="15" hidden="false" customHeight="false" outlineLevel="0" collapsed="false">
      <c r="A656" s="31" t="n">
        <v>1121807</v>
      </c>
      <c r="B656" s="31" t="n">
        <v>1178</v>
      </c>
      <c r="C656" s="31" t="n">
        <v>144658</v>
      </c>
      <c r="D656" s="31" t="s">
        <v>57</v>
      </c>
      <c r="E656" s="31" t="s">
        <v>63</v>
      </c>
      <c r="F656" s="31" t="n">
        <v>26</v>
      </c>
      <c r="G656" s="31" t="n">
        <v>373110</v>
      </c>
      <c r="H656" s="31" t="n">
        <v>49</v>
      </c>
      <c r="I656" s="32" t="n">
        <v>75.70000076</v>
      </c>
      <c r="J656" s="31" t="n">
        <v>4</v>
      </c>
      <c r="K656" s="31" t="n">
        <v>2</v>
      </c>
    </row>
    <row r="657" customFormat="false" ht="15" hidden="false" customHeight="false" outlineLevel="0" collapsed="false">
      <c r="A657" s="31" t="n">
        <v>1121812</v>
      </c>
      <c r="B657" s="31" t="n">
        <v>1178</v>
      </c>
      <c r="C657" s="31" t="n">
        <v>144659</v>
      </c>
      <c r="D657" s="31" t="s">
        <v>57</v>
      </c>
      <c r="E657" s="31" t="s">
        <v>63</v>
      </c>
      <c r="F657" s="31" t="n">
        <v>27</v>
      </c>
      <c r="G657" s="31" t="n">
        <v>935646</v>
      </c>
      <c r="H657" s="31" t="n">
        <v>170</v>
      </c>
      <c r="I657" s="32" t="n">
        <v>256.4699982</v>
      </c>
      <c r="J657" s="31" t="n">
        <v>19</v>
      </c>
      <c r="K657" s="31" t="n">
        <v>6</v>
      </c>
    </row>
    <row r="658" customFormat="false" ht="15" hidden="false" customHeight="false" outlineLevel="0" collapsed="false">
      <c r="A658" s="31" t="n">
        <v>1121814</v>
      </c>
      <c r="B658" s="31" t="n">
        <v>1178</v>
      </c>
      <c r="C658" s="31" t="n">
        <v>144659</v>
      </c>
      <c r="D658" s="31" t="s">
        <v>57</v>
      </c>
      <c r="E658" s="31" t="s">
        <v>63</v>
      </c>
      <c r="F658" s="31" t="n">
        <v>27</v>
      </c>
      <c r="G658" s="31" t="n">
        <v>2223278</v>
      </c>
      <c r="H658" s="31" t="n">
        <v>421</v>
      </c>
      <c r="I658" s="32" t="n">
        <v>612.3000032</v>
      </c>
      <c r="J658" s="31" t="n">
        <v>38</v>
      </c>
      <c r="K658" s="31" t="n">
        <v>13</v>
      </c>
    </row>
    <row r="659" customFormat="false" ht="15" hidden="false" customHeight="false" outlineLevel="0" collapsed="false">
      <c r="A659" s="31" t="n">
        <v>1121815</v>
      </c>
      <c r="B659" s="31" t="n">
        <v>1178</v>
      </c>
      <c r="C659" s="31" t="n">
        <v>144659</v>
      </c>
      <c r="D659" s="31" t="s">
        <v>57</v>
      </c>
      <c r="E659" s="31" t="s">
        <v>63</v>
      </c>
      <c r="F659" s="31" t="n">
        <v>27</v>
      </c>
      <c r="G659" s="31" t="n">
        <v>240497</v>
      </c>
      <c r="H659" s="31" t="n">
        <v>36</v>
      </c>
      <c r="I659" s="32" t="n">
        <v>51.84000087</v>
      </c>
      <c r="J659" s="31" t="n">
        <v>1</v>
      </c>
      <c r="K659" s="31" t="n">
        <v>0</v>
      </c>
    </row>
    <row r="660" customFormat="false" ht="15" hidden="false" customHeight="false" outlineLevel="0" collapsed="false">
      <c r="A660" s="31" t="n">
        <v>1121816</v>
      </c>
      <c r="B660" s="31" t="n">
        <v>1178</v>
      </c>
      <c r="C660" s="31" t="n">
        <v>144659</v>
      </c>
      <c r="D660" s="31" t="s">
        <v>57</v>
      </c>
      <c r="E660" s="31" t="s">
        <v>63</v>
      </c>
      <c r="F660" s="31" t="n">
        <v>27</v>
      </c>
      <c r="G660" s="31" t="n">
        <v>259984</v>
      </c>
      <c r="H660" s="31" t="n">
        <v>37</v>
      </c>
      <c r="I660" s="32" t="n">
        <v>54.7900002</v>
      </c>
      <c r="J660" s="31" t="n">
        <v>5</v>
      </c>
      <c r="K660" s="31" t="n">
        <v>0</v>
      </c>
    </row>
    <row r="661" customFormat="false" ht="15" hidden="false" customHeight="false" outlineLevel="0" collapsed="false">
      <c r="A661" s="31" t="n">
        <v>1121817</v>
      </c>
      <c r="B661" s="31" t="n">
        <v>1178</v>
      </c>
      <c r="C661" s="31" t="n">
        <v>144660</v>
      </c>
      <c r="D661" s="31" t="s">
        <v>57</v>
      </c>
      <c r="E661" s="31" t="s">
        <v>63</v>
      </c>
      <c r="F661" s="31" t="n">
        <v>28</v>
      </c>
      <c r="G661" s="31" t="n">
        <v>606786</v>
      </c>
      <c r="H661" s="31" t="n">
        <v>127</v>
      </c>
      <c r="I661" s="32" t="n">
        <v>179.050001</v>
      </c>
      <c r="J661" s="31" t="n">
        <v>11</v>
      </c>
      <c r="K661" s="31" t="n">
        <v>3</v>
      </c>
    </row>
    <row r="662" customFormat="false" ht="15" hidden="false" customHeight="false" outlineLevel="0" collapsed="false">
      <c r="A662" s="31" t="n">
        <v>1121818</v>
      </c>
      <c r="B662" s="31" t="n">
        <v>1178</v>
      </c>
      <c r="C662" s="31" t="n">
        <v>144660</v>
      </c>
      <c r="D662" s="31" t="s">
        <v>57</v>
      </c>
      <c r="E662" s="31" t="s">
        <v>63</v>
      </c>
      <c r="F662" s="31" t="n">
        <v>28</v>
      </c>
      <c r="G662" s="31" t="n">
        <v>83270</v>
      </c>
      <c r="H662" s="31" t="n">
        <v>13</v>
      </c>
      <c r="I662" s="32" t="n">
        <v>17.74000001</v>
      </c>
      <c r="J662" s="31" t="n">
        <v>1</v>
      </c>
      <c r="K662" s="31" t="n">
        <v>0</v>
      </c>
    </row>
    <row r="663" customFormat="false" ht="15" hidden="false" customHeight="false" outlineLevel="0" collapsed="false">
      <c r="A663" s="31" t="n">
        <v>1121819</v>
      </c>
      <c r="B663" s="31" t="n">
        <v>1178</v>
      </c>
      <c r="C663" s="31" t="n">
        <v>144660</v>
      </c>
      <c r="D663" s="31" t="s">
        <v>57</v>
      </c>
      <c r="E663" s="31" t="s">
        <v>63</v>
      </c>
      <c r="F663" s="31" t="n">
        <v>28</v>
      </c>
      <c r="G663" s="31" t="n">
        <v>1189509</v>
      </c>
      <c r="H663" s="31" t="n">
        <v>268</v>
      </c>
      <c r="I663" s="32" t="n">
        <v>375.7199963</v>
      </c>
      <c r="J663" s="31" t="n">
        <v>7</v>
      </c>
      <c r="K663" s="31" t="n">
        <v>3</v>
      </c>
    </row>
    <row r="664" customFormat="false" ht="15" hidden="false" customHeight="false" outlineLevel="0" collapsed="false">
      <c r="A664" s="31" t="n">
        <v>1121820</v>
      </c>
      <c r="B664" s="31" t="n">
        <v>1178</v>
      </c>
      <c r="C664" s="31" t="n">
        <v>144660</v>
      </c>
      <c r="D664" s="31" t="s">
        <v>57</v>
      </c>
      <c r="E664" s="31" t="s">
        <v>63</v>
      </c>
      <c r="F664" s="31" t="n">
        <v>28</v>
      </c>
      <c r="G664" s="31" t="n">
        <v>11471</v>
      </c>
      <c r="H664" s="31" t="n">
        <v>1</v>
      </c>
      <c r="I664" s="32" t="n">
        <v>1.570000052</v>
      </c>
      <c r="J664" s="31" t="n">
        <v>0</v>
      </c>
      <c r="K664" s="31" t="n">
        <v>0</v>
      </c>
    </row>
    <row r="665" customFormat="false" ht="15" hidden="false" customHeight="false" outlineLevel="0" collapsed="false">
      <c r="A665" s="31" t="n">
        <v>1121824</v>
      </c>
      <c r="B665" s="31" t="n">
        <v>1178</v>
      </c>
      <c r="C665" s="31" t="n">
        <v>144661</v>
      </c>
      <c r="D665" s="31" t="s">
        <v>57</v>
      </c>
      <c r="E665" s="31" t="s">
        <v>63</v>
      </c>
      <c r="F665" s="31" t="n">
        <v>29</v>
      </c>
      <c r="G665" s="31" t="n">
        <v>1705246</v>
      </c>
      <c r="H665" s="31" t="n">
        <v>295</v>
      </c>
      <c r="I665" s="32" t="n">
        <v>429.4799981</v>
      </c>
      <c r="J665" s="31" t="n">
        <v>23</v>
      </c>
      <c r="K665" s="31" t="n">
        <v>10</v>
      </c>
    </row>
    <row r="666" customFormat="false" ht="15" hidden="false" customHeight="false" outlineLevel="0" collapsed="false">
      <c r="A666" s="31" t="n">
        <v>1121826</v>
      </c>
      <c r="B666" s="31" t="n">
        <v>1178</v>
      </c>
      <c r="C666" s="31" t="n">
        <v>144661</v>
      </c>
      <c r="D666" s="31" t="s">
        <v>57</v>
      </c>
      <c r="E666" s="31" t="s">
        <v>63</v>
      </c>
      <c r="F666" s="31" t="n">
        <v>29</v>
      </c>
      <c r="G666" s="31" t="n">
        <v>418016</v>
      </c>
      <c r="H666" s="31" t="n">
        <v>63</v>
      </c>
      <c r="I666" s="32" t="n">
        <v>95.8500005</v>
      </c>
      <c r="J666" s="31" t="n">
        <v>3</v>
      </c>
      <c r="K666" s="31" t="n">
        <v>1</v>
      </c>
    </row>
    <row r="667" customFormat="false" ht="15" hidden="false" customHeight="false" outlineLevel="0" collapsed="false">
      <c r="A667" s="31" t="n">
        <v>1121827</v>
      </c>
      <c r="B667" s="31" t="n">
        <v>1178</v>
      </c>
      <c r="C667" s="31" t="n">
        <v>144661</v>
      </c>
      <c r="D667" s="31" t="s">
        <v>57</v>
      </c>
      <c r="E667" s="31" t="s">
        <v>63</v>
      </c>
      <c r="F667" s="31" t="n">
        <v>29</v>
      </c>
      <c r="G667" s="31" t="n">
        <v>30155</v>
      </c>
      <c r="H667" s="31" t="n">
        <v>3</v>
      </c>
      <c r="I667" s="32" t="n">
        <v>3.819999933</v>
      </c>
      <c r="J667" s="31" t="n">
        <v>1</v>
      </c>
      <c r="K667" s="31" t="n">
        <v>0</v>
      </c>
    </row>
    <row r="668" customFormat="false" ht="15" hidden="false" customHeight="false" outlineLevel="0" collapsed="false">
      <c r="A668" s="31" t="n">
        <v>1121828</v>
      </c>
      <c r="B668" s="31" t="n">
        <v>1178</v>
      </c>
      <c r="C668" s="31" t="n">
        <v>144661</v>
      </c>
      <c r="D668" s="31" t="s">
        <v>57</v>
      </c>
      <c r="E668" s="31" t="s">
        <v>63</v>
      </c>
      <c r="F668" s="31" t="n">
        <v>29</v>
      </c>
      <c r="G668" s="31" t="n">
        <v>990404</v>
      </c>
      <c r="H668" s="31" t="n">
        <v>153</v>
      </c>
      <c r="I668" s="32" t="n">
        <v>226.5399992</v>
      </c>
      <c r="J668" s="31" t="n">
        <v>12</v>
      </c>
      <c r="K668" s="31" t="n">
        <v>6</v>
      </c>
    </row>
    <row r="669" customFormat="false" ht="15" hidden="false" customHeight="false" outlineLevel="0" collapsed="false">
      <c r="A669" s="31" t="n">
        <v>1121829</v>
      </c>
      <c r="B669" s="31" t="n">
        <v>1178</v>
      </c>
      <c r="C669" s="31" t="n">
        <v>144662</v>
      </c>
      <c r="D669" s="31" t="s">
        <v>57</v>
      </c>
      <c r="E669" s="31" t="s">
        <v>63</v>
      </c>
      <c r="F669" s="31" t="n">
        <v>30</v>
      </c>
      <c r="G669" s="31" t="n">
        <v>187468</v>
      </c>
      <c r="H669" s="31" t="n">
        <v>34</v>
      </c>
      <c r="I669" s="32" t="n">
        <v>50.72000062</v>
      </c>
      <c r="J669" s="31" t="n">
        <v>2</v>
      </c>
      <c r="K669" s="31" t="n">
        <v>1</v>
      </c>
    </row>
    <row r="670" customFormat="false" ht="15" hidden="false" customHeight="false" outlineLevel="0" collapsed="false">
      <c r="A670" s="31" t="n">
        <v>1121832</v>
      </c>
      <c r="B670" s="31" t="n">
        <v>1178</v>
      </c>
      <c r="C670" s="31" t="n">
        <v>144662</v>
      </c>
      <c r="D670" s="31" t="s">
        <v>57</v>
      </c>
      <c r="E670" s="31" t="s">
        <v>63</v>
      </c>
      <c r="F670" s="31" t="n">
        <v>30</v>
      </c>
      <c r="G670" s="31" t="n">
        <v>208301</v>
      </c>
      <c r="H670" s="31" t="n">
        <v>33</v>
      </c>
      <c r="I670" s="32" t="n">
        <v>54.57000089</v>
      </c>
      <c r="J670" s="31" t="n">
        <v>1</v>
      </c>
      <c r="K670" s="31" t="n">
        <v>0</v>
      </c>
    </row>
    <row r="671" customFormat="false" ht="15" hidden="false" customHeight="false" outlineLevel="0" collapsed="false">
      <c r="A671" s="31" t="n">
        <v>1121833</v>
      </c>
      <c r="B671" s="31" t="n">
        <v>1178</v>
      </c>
      <c r="C671" s="31" t="n">
        <v>144662</v>
      </c>
      <c r="D671" s="31" t="s">
        <v>57</v>
      </c>
      <c r="E671" s="31" t="s">
        <v>63</v>
      </c>
      <c r="F671" s="31" t="n">
        <v>30</v>
      </c>
      <c r="G671" s="31" t="n">
        <v>101856</v>
      </c>
      <c r="H671" s="31" t="n">
        <v>16</v>
      </c>
      <c r="I671" s="32" t="n">
        <v>25.22000039</v>
      </c>
      <c r="J671" s="31" t="n">
        <v>4</v>
      </c>
      <c r="K671" s="31" t="n">
        <v>1</v>
      </c>
    </row>
    <row r="672" customFormat="false" ht="15" hidden="false" customHeight="false" outlineLevel="0" collapsed="false">
      <c r="A672" s="31" t="n">
        <v>1121835</v>
      </c>
      <c r="B672" s="31" t="n">
        <v>1178</v>
      </c>
      <c r="C672" s="31" t="n">
        <v>144663</v>
      </c>
      <c r="D672" s="31" t="s">
        <v>57</v>
      </c>
      <c r="E672" s="31" t="s">
        <v>63</v>
      </c>
      <c r="F672" s="31" t="n">
        <v>31</v>
      </c>
      <c r="G672" s="31" t="n">
        <v>48935</v>
      </c>
      <c r="H672" s="31" t="n">
        <v>7</v>
      </c>
      <c r="I672" s="32" t="n">
        <v>9.970000267</v>
      </c>
      <c r="J672" s="31" t="n">
        <v>1</v>
      </c>
      <c r="K672" s="31" t="n">
        <v>1</v>
      </c>
    </row>
    <row r="673" customFormat="false" ht="15" hidden="false" customHeight="false" outlineLevel="0" collapsed="false">
      <c r="A673" s="31" t="n">
        <v>1121839</v>
      </c>
      <c r="B673" s="31" t="n">
        <v>1178</v>
      </c>
      <c r="C673" s="31" t="n">
        <v>144663</v>
      </c>
      <c r="D673" s="31" t="s">
        <v>57</v>
      </c>
      <c r="E673" s="31" t="s">
        <v>63</v>
      </c>
      <c r="F673" s="31" t="n">
        <v>31</v>
      </c>
      <c r="G673" s="31" t="n">
        <v>13911</v>
      </c>
      <c r="H673" s="31" t="n">
        <v>1</v>
      </c>
      <c r="I673" s="32" t="n">
        <v>1.730000019</v>
      </c>
      <c r="J673" s="31" t="n">
        <v>1</v>
      </c>
      <c r="K673" s="31" t="n">
        <v>1</v>
      </c>
    </row>
    <row r="674" customFormat="false" ht="15" hidden="false" customHeight="false" outlineLevel="0" collapsed="false">
      <c r="A674" s="31" t="n">
        <v>1121841</v>
      </c>
      <c r="B674" s="31" t="n">
        <v>1178</v>
      </c>
      <c r="C674" s="31" t="n">
        <v>144664</v>
      </c>
      <c r="D674" s="31" t="s">
        <v>57</v>
      </c>
      <c r="E674" s="31" t="s">
        <v>63</v>
      </c>
      <c r="F674" s="31" t="n">
        <v>32</v>
      </c>
      <c r="G674" s="31" t="n">
        <v>511726</v>
      </c>
      <c r="H674" s="31" t="n">
        <v>77</v>
      </c>
      <c r="I674" s="32" t="n">
        <v>123.0900019</v>
      </c>
      <c r="J674" s="31" t="n">
        <v>8</v>
      </c>
      <c r="K674" s="31" t="n">
        <v>4</v>
      </c>
    </row>
    <row r="675" customFormat="false" ht="15" hidden="false" customHeight="false" outlineLevel="0" collapsed="false">
      <c r="A675" s="31" t="n">
        <v>1121843</v>
      </c>
      <c r="B675" s="31" t="n">
        <v>1178</v>
      </c>
      <c r="C675" s="31" t="n">
        <v>144664</v>
      </c>
      <c r="D675" s="31" t="s">
        <v>57</v>
      </c>
      <c r="E675" s="31" t="s">
        <v>63</v>
      </c>
      <c r="F675" s="31" t="n">
        <v>32</v>
      </c>
      <c r="G675" s="31" t="n">
        <v>177452</v>
      </c>
      <c r="H675" s="31" t="n">
        <v>24</v>
      </c>
      <c r="I675" s="32" t="n">
        <v>37.83000016</v>
      </c>
      <c r="J675" s="31" t="n">
        <v>2</v>
      </c>
      <c r="K675" s="31" t="n">
        <v>0</v>
      </c>
    </row>
    <row r="676" customFormat="false" ht="15" hidden="false" customHeight="false" outlineLevel="0" collapsed="false">
      <c r="A676" s="31" t="n">
        <v>1121844</v>
      </c>
      <c r="B676" s="31" t="n">
        <v>1178</v>
      </c>
      <c r="C676" s="31" t="n">
        <v>144664</v>
      </c>
      <c r="D676" s="31" t="s">
        <v>57</v>
      </c>
      <c r="E676" s="31" t="s">
        <v>63</v>
      </c>
      <c r="F676" s="31" t="n">
        <v>32</v>
      </c>
      <c r="G676" s="31" t="n">
        <v>149808</v>
      </c>
      <c r="H676" s="31" t="n">
        <v>20</v>
      </c>
      <c r="I676" s="32" t="n">
        <v>33.03999937</v>
      </c>
      <c r="J676" s="31" t="n">
        <v>1</v>
      </c>
      <c r="K676" s="31" t="n">
        <v>1</v>
      </c>
    </row>
    <row r="677" customFormat="false" ht="15" hidden="false" customHeight="false" outlineLevel="0" collapsed="false">
      <c r="A677" s="31" t="n">
        <v>1121845</v>
      </c>
      <c r="B677" s="31" t="n">
        <v>1178</v>
      </c>
      <c r="C677" s="31" t="n">
        <v>144664</v>
      </c>
      <c r="D677" s="31" t="s">
        <v>57</v>
      </c>
      <c r="E677" s="31" t="s">
        <v>63</v>
      </c>
      <c r="F677" s="31" t="n">
        <v>32</v>
      </c>
      <c r="G677" s="31" t="n">
        <v>390339</v>
      </c>
      <c r="H677" s="31" t="n">
        <v>60</v>
      </c>
      <c r="I677" s="32" t="n">
        <v>105.0199997</v>
      </c>
      <c r="J677" s="31" t="n">
        <v>9</v>
      </c>
      <c r="K677" s="31" t="n">
        <v>6</v>
      </c>
    </row>
    <row r="678" customFormat="false" ht="15" hidden="false" customHeight="false" outlineLevel="0" collapsed="false">
      <c r="A678" s="31" t="n">
        <v>1121847</v>
      </c>
      <c r="B678" s="31" t="n">
        <v>1178</v>
      </c>
      <c r="C678" s="31" t="n">
        <v>144665</v>
      </c>
      <c r="D678" s="31" t="s">
        <v>57</v>
      </c>
      <c r="E678" s="31" t="s">
        <v>63</v>
      </c>
      <c r="F678" s="31" t="n">
        <v>36</v>
      </c>
      <c r="G678" s="31" t="n">
        <v>39339</v>
      </c>
      <c r="H678" s="31" t="n">
        <v>4</v>
      </c>
      <c r="I678" s="32" t="n">
        <v>5.929999948</v>
      </c>
      <c r="J678" s="31" t="n">
        <v>1</v>
      </c>
      <c r="K678" s="31" t="n">
        <v>0</v>
      </c>
    </row>
    <row r="679" customFormat="false" ht="15" hidden="false" customHeight="false" outlineLevel="0" collapsed="false">
      <c r="A679" s="31" t="n">
        <v>1121855</v>
      </c>
      <c r="B679" s="31" t="n">
        <v>1178</v>
      </c>
      <c r="C679" s="31" t="n">
        <v>144666</v>
      </c>
      <c r="D679" s="31" t="s">
        <v>57</v>
      </c>
      <c r="E679" s="31" t="s">
        <v>63</v>
      </c>
      <c r="F679" s="31" t="n">
        <v>63</v>
      </c>
      <c r="G679" s="31" t="n">
        <v>24893</v>
      </c>
      <c r="H679" s="31" t="n">
        <v>2</v>
      </c>
      <c r="I679" s="32" t="n">
        <v>3.75</v>
      </c>
      <c r="J679" s="31" t="n">
        <v>1</v>
      </c>
      <c r="K679" s="31" t="n">
        <v>0</v>
      </c>
    </row>
    <row r="680" customFormat="false" ht="15" hidden="false" customHeight="false" outlineLevel="0" collapsed="false">
      <c r="A680" s="31" t="n">
        <v>1121856</v>
      </c>
      <c r="B680" s="31" t="n">
        <v>1178</v>
      </c>
      <c r="C680" s="31" t="n">
        <v>144666</v>
      </c>
      <c r="D680" s="31" t="s">
        <v>57</v>
      </c>
      <c r="E680" s="31" t="s">
        <v>63</v>
      </c>
      <c r="F680" s="31" t="n">
        <v>63</v>
      </c>
      <c r="G680" s="31" t="n">
        <v>1296189</v>
      </c>
      <c r="H680" s="31" t="n">
        <v>212</v>
      </c>
      <c r="I680" s="32" t="n">
        <v>343.2599944</v>
      </c>
      <c r="J680" s="31" t="n">
        <v>14</v>
      </c>
      <c r="K680" s="31" t="n">
        <v>4</v>
      </c>
    </row>
    <row r="681" customFormat="false" ht="15" hidden="false" customHeight="false" outlineLevel="0" collapsed="false">
      <c r="A681" s="31" t="n">
        <v>1121857</v>
      </c>
      <c r="B681" s="31" t="n">
        <v>1178</v>
      </c>
      <c r="C681" s="31" t="n">
        <v>144666</v>
      </c>
      <c r="D681" s="31" t="s">
        <v>57</v>
      </c>
      <c r="E681" s="31" t="s">
        <v>63</v>
      </c>
      <c r="F681" s="31" t="n">
        <v>63</v>
      </c>
      <c r="G681" s="31" t="n">
        <v>91607</v>
      </c>
      <c r="H681" s="31" t="n">
        <v>12</v>
      </c>
      <c r="I681" s="32" t="n">
        <v>19.1899997</v>
      </c>
      <c r="J681" s="31" t="n">
        <v>2</v>
      </c>
      <c r="K681" s="31" t="n">
        <v>1</v>
      </c>
    </row>
    <row r="682" customFormat="false" ht="15" hidden="false" customHeight="false" outlineLevel="0" collapsed="false">
      <c r="A682" s="31" t="n">
        <v>1121859</v>
      </c>
      <c r="B682" s="31" t="n">
        <v>1178</v>
      </c>
      <c r="C682" s="31" t="n">
        <v>144667</v>
      </c>
      <c r="D682" s="31" t="s">
        <v>57</v>
      </c>
      <c r="E682" s="31" t="s">
        <v>63</v>
      </c>
      <c r="F682" s="31" t="n">
        <v>64</v>
      </c>
      <c r="G682" s="31" t="n">
        <v>238036</v>
      </c>
      <c r="H682" s="31" t="n">
        <v>38</v>
      </c>
      <c r="I682" s="32" t="n">
        <v>61.02999771</v>
      </c>
      <c r="J682" s="31" t="n">
        <v>6</v>
      </c>
      <c r="K682" s="31" t="n">
        <v>3</v>
      </c>
    </row>
    <row r="683" customFormat="false" ht="15" hidden="false" customHeight="false" outlineLevel="0" collapsed="false">
      <c r="A683" s="31" t="n">
        <v>1121860</v>
      </c>
      <c r="B683" s="31" t="n">
        <v>1178</v>
      </c>
      <c r="C683" s="31" t="n">
        <v>144667</v>
      </c>
      <c r="D683" s="31" t="s">
        <v>57</v>
      </c>
      <c r="E683" s="31" t="s">
        <v>63</v>
      </c>
      <c r="F683" s="31" t="n">
        <v>64</v>
      </c>
      <c r="G683" s="31" t="n">
        <v>254344</v>
      </c>
      <c r="H683" s="31" t="n">
        <v>35</v>
      </c>
      <c r="I683" s="32" t="n">
        <v>56.16999996</v>
      </c>
      <c r="J683" s="31" t="n">
        <v>2</v>
      </c>
      <c r="K683" s="31" t="n">
        <v>1</v>
      </c>
    </row>
    <row r="684" customFormat="false" ht="15" hidden="false" customHeight="false" outlineLevel="0" collapsed="false">
      <c r="A684" s="31" t="n">
        <v>1121861</v>
      </c>
      <c r="B684" s="31" t="n">
        <v>1178</v>
      </c>
      <c r="C684" s="31" t="n">
        <v>144667</v>
      </c>
      <c r="D684" s="31" t="s">
        <v>57</v>
      </c>
      <c r="E684" s="31" t="s">
        <v>63</v>
      </c>
      <c r="F684" s="31" t="n">
        <v>64</v>
      </c>
      <c r="G684" s="31" t="n">
        <v>157705</v>
      </c>
      <c r="H684" s="31" t="n">
        <v>23</v>
      </c>
      <c r="I684" s="32" t="n">
        <v>39.23000026</v>
      </c>
      <c r="J684" s="31" t="n">
        <v>2</v>
      </c>
      <c r="K684" s="31" t="n">
        <v>0</v>
      </c>
    </row>
    <row r="685" customFormat="false" ht="15" hidden="false" customHeight="false" outlineLevel="0" collapsed="false">
      <c r="A685" s="31" t="n">
        <v>1121862</v>
      </c>
      <c r="B685" s="31" t="n">
        <v>1178</v>
      </c>
      <c r="C685" s="31" t="n">
        <v>144667</v>
      </c>
      <c r="D685" s="31" t="s">
        <v>57</v>
      </c>
      <c r="E685" s="31" t="s">
        <v>63</v>
      </c>
      <c r="F685" s="31" t="n">
        <v>64</v>
      </c>
      <c r="G685" s="31" t="n">
        <v>411571</v>
      </c>
      <c r="H685" s="31" t="n">
        <v>60</v>
      </c>
      <c r="I685" s="32" t="n">
        <v>99.1799984</v>
      </c>
      <c r="J685" s="31" t="n">
        <v>6</v>
      </c>
      <c r="K685" s="31" t="n">
        <v>1</v>
      </c>
    </row>
    <row r="686" customFormat="false" ht="15" hidden="false" customHeight="false" outlineLevel="0" collapsed="false">
      <c r="A686" s="31" t="n">
        <v>1121863</v>
      </c>
      <c r="B686" s="31" t="n">
        <v>1178</v>
      </c>
      <c r="C686" s="31" t="n">
        <v>144667</v>
      </c>
      <c r="D686" s="31" t="s">
        <v>57</v>
      </c>
      <c r="E686" s="31" t="s">
        <v>63</v>
      </c>
      <c r="F686" s="31" t="n">
        <v>64</v>
      </c>
      <c r="G686" s="31" t="n">
        <v>94136</v>
      </c>
      <c r="H686" s="31" t="n">
        <v>11</v>
      </c>
      <c r="I686" s="32" t="n">
        <v>16.17999971</v>
      </c>
      <c r="J686" s="31" t="n">
        <v>1</v>
      </c>
      <c r="K686" s="31" t="n">
        <v>0</v>
      </c>
    </row>
    <row r="687" customFormat="false" ht="15" hidden="false" customHeight="false" outlineLevel="0" collapsed="false">
      <c r="A687" s="31" t="n">
        <v>1121867</v>
      </c>
      <c r="B687" s="31" t="n">
        <v>1178</v>
      </c>
      <c r="C687" s="31" t="n">
        <v>144668</v>
      </c>
      <c r="D687" s="31" t="s">
        <v>57</v>
      </c>
      <c r="E687" s="31" t="s">
        <v>63</v>
      </c>
      <c r="F687" s="31" t="n">
        <v>65</v>
      </c>
      <c r="G687" s="31" t="n">
        <v>82640</v>
      </c>
      <c r="H687" s="31" t="n">
        <v>16</v>
      </c>
      <c r="I687" s="32" t="n">
        <v>23.97000039</v>
      </c>
      <c r="J687" s="31" t="n">
        <v>1</v>
      </c>
      <c r="K687" s="31" t="n">
        <v>1</v>
      </c>
    </row>
    <row r="688" customFormat="false" ht="15" hidden="false" customHeight="false" outlineLevel="0" collapsed="false">
      <c r="A688" s="31" t="n">
        <v>1121869</v>
      </c>
      <c r="B688" s="31" t="n">
        <v>1178</v>
      </c>
      <c r="C688" s="31" t="n">
        <v>144668</v>
      </c>
      <c r="D688" s="31" t="s">
        <v>57</v>
      </c>
      <c r="E688" s="31" t="s">
        <v>63</v>
      </c>
      <c r="F688" s="31" t="n">
        <v>65</v>
      </c>
      <c r="G688" s="31" t="n">
        <v>17870</v>
      </c>
      <c r="H688" s="31" t="n">
        <v>2</v>
      </c>
      <c r="I688" s="32" t="n">
        <v>2.620000005</v>
      </c>
      <c r="J688" s="31" t="n">
        <v>1</v>
      </c>
      <c r="K688" s="31" t="n">
        <v>1</v>
      </c>
    </row>
    <row r="689" customFormat="false" ht="15" hidden="false" customHeight="false" outlineLevel="0" collapsed="false">
      <c r="A689" s="31" t="n">
        <v>1121871</v>
      </c>
      <c r="B689" s="31" t="n">
        <v>1178</v>
      </c>
      <c r="C689" s="31" t="n">
        <v>144669</v>
      </c>
      <c r="D689" s="31" t="s">
        <v>57</v>
      </c>
      <c r="E689" s="31" t="s">
        <v>63</v>
      </c>
      <c r="F689" s="31" t="n">
        <v>2</v>
      </c>
      <c r="G689" s="31" t="n">
        <v>19178</v>
      </c>
      <c r="H689" s="31" t="n">
        <v>2</v>
      </c>
      <c r="I689" s="32" t="n">
        <v>2.779999971</v>
      </c>
      <c r="J689" s="31" t="n">
        <v>1</v>
      </c>
      <c r="K689" s="31" t="n">
        <v>1</v>
      </c>
    </row>
    <row r="690" customFormat="false" ht="15" hidden="false" customHeight="false" outlineLevel="0" collapsed="false">
      <c r="A690" s="31" t="n">
        <v>1121874</v>
      </c>
      <c r="B690" s="31" t="n">
        <v>1178</v>
      </c>
      <c r="C690" s="31" t="n">
        <v>144669</v>
      </c>
      <c r="D690" s="31" t="s">
        <v>57</v>
      </c>
      <c r="E690" s="31" t="s">
        <v>63</v>
      </c>
      <c r="F690" s="31" t="n">
        <v>2</v>
      </c>
      <c r="G690" s="31" t="n">
        <v>145548</v>
      </c>
      <c r="H690" s="31" t="n">
        <v>28</v>
      </c>
      <c r="I690" s="32" t="n">
        <v>42.37000036</v>
      </c>
      <c r="J690" s="31" t="n">
        <v>2</v>
      </c>
      <c r="K690" s="31" t="n">
        <v>1</v>
      </c>
    </row>
    <row r="691" customFormat="false" ht="15" hidden="false" customHeight="false" outlineLevel="0" collapsed="false">
      <c r="A691" s="31" t="n">
        <v>1121876</v>
      </c>
      <c r="B691" s="31" t="n">
        <v>1178</v>
      </c>
      <c r="C691" s="31" t="n">
        <v>144669</v>
      </c>
      <c r="D691" s="31" t="s">
        <v>57</v>
      </c>
      <c r="E691" s="31" t="s">
        <v>63</v>
      </c>
      <c r="F691" s="31" t="n">
        <v>2</v>
      </c>
      <c r="G691" s="31" t="n">
        <v>82455</v>
      </c>
      <c r="H691" s="31" t="n">
        <v>15</v>
      </c>
      <c r="I691" s="32" t="n">
        <v>22.04999971</v>
      </c>
      <c r="J691" s="31" t="n">
        <v>1</v>
      </c>
      <c r="K691" s="31" t="n">
        <v>0</v>
      </c>
    </row>
    <row r="692" customFormat="false" ht="15" hidden="false" customHeight="false" outlineLevel="0" collapsed="false">
      <c r="A692" s="31" t="n">
        <v>1121877</v>
      </c>
      <c r="B692" s="31" t="n">
        <v>1178</v>
      </c>
      <c r="C692" s="31" t="n">
        <v>144670</v>
      </c>
      <c r="D692" s="31" t="s">
        <v>57</v>
      </c>
      <c r="E692" s="31" t="s">
        <v>63</v>
      </c>
      <c r="F692" s="31" t="n">
        <v>7</v>
      </c>
      <c r="G692" s="31" t="n">
        <v>44189</v>
      </c>
      <c r="H692" s="31" t="n">
        <v>7</v>
      </c>
      <c r="I692" s="32" t="n">
        <v>10.31999981</v>
      </c>
      <c r="J692" s="31" t="n">
        <v>2</v>
      </c>
      <c r="K692" s="31" t="n">
        <v>0</v>
      </c>
    </row>
    <row r="693" customFormat="false" ht="15" hidden="false" customHeight="false" outlineLevel="0" collapsed="false">
      <c r="A693" s="31" t="n">
        <v>1121878</v>
      </c>
      <c r="B693" s="31" t="n">
        <v>1178</v>
      </c>
      <c r="C693" s="31" t="n">
        <v>144670</v>
      </c>
      <c r="D693" s="31" t="s">
        <v>57</v>
      </c>
      <c r="E693" s="31" t="s">
        <v>63</v>
      </c>
      <c r="F693" s="31" t="n">
        <v>7</v>
      </c>
      <c r="G693" s="31" t="n">
        <v>45199</v>
      </c>
      <c r="H693" s="31" t="n">
        <v>7</v>
      </c>
      <c r="I693" s="32" t="n">
        <v>9.809999943</v>
      </c>
      <c r="J693" s="31" t="n">
        <v>1</v>
      </c>
      <c r="K693" s="31" t="n">
        <v>0</v>
      </c>
    </row>
    <row r="694" customFormat="false" ht="15" hidden="false" customHeight="false" outlineLevel="0" collapsed="false">
      <c r="A694" s="31" t="n">
        <v>1121881</v>
      </c>
      <c r="B694" s="31" t="n">
        <v>1178</v>
      </c>
      <c r="C694" s="31" t="n">
        <v>144670</v>
      </c>
      <c r="D694" s="31" t="s">
        <v>57</v>
      </c>
      <c r="E694" s="31" t="s">
        <v>63</v>
      </c>
      <c r="F694" s="31" t="n">
        <v>7</v>
      </c>
      <c r="G694" s="31" t="n">
        <v>221843</v>
      </c>
      <c r="H694" s="31" t="n">
        <v>43</v>
      </c>
      <c r="I694" s="32" t="n">
        <v>63.45000076</v>
      </c>
      <c r="J694" s="31" t="n">
        <v>5</v>
      </c>
      <c r="K694" s="31" t="n">
        <v>0</v>
      </c>
    </row>
    <row r="695" customFormat="false" ht="15" hidden="false" customHeight="false" outlineLevel="0" collapsed="false">
      <c r="A695" s="31" t="n">
        <v>1121888</v>
      </c>
      <c r="B695" s="31" t="n">
        <v>1178</v>
      </c>
      <c r="C695" s="31" t="n">
        <v>144671</v>
      </c>
      <c r="D695" s="31" t="s">
        <v>57</v>
      </c>
      <c r="E695" s="31" t="s">
        <v>63</v>
      </c>
      <c r="F695" s="31" t="n">
        <v>66</v>
      </c>
      <c r="G695" s="31" t="n">
        <v>41672</v>
      </c>
      <c r="H695" s="31" t="n">
        <v>6</v>
      </c>
      <c r="I695" s="32" t="n">
        <v>10.54999995</v>
      </c>
      <c r="J695" s="31" t="n">
        <v>2</v>
      </c>
      <c r="K695" s="31" t="n">
        <v>1</v>
      </c>
    </row>
    <row r="696" customFormat="false" ht="15" hidden="false" customHeight="false" outlineLevel="0" collapsed="false">
      <c r="A696" s="31" t="n">
        <v>1121889</v>
      </c>
      <c r="B696" s="31" t="n">
        <v>1178</v>
      </c>
      <c r="C696" s="31" t="n">
        <v>144672</v>
      </c>
      <c r="D696" s="31" t="s">
        <v>58</v>
      </c>
      <c r="E696" s="31" t="s">
        <v>63</v>
      </c>
      <c r="F696" s="31" t="n">
        <v>10</v>
      </c>
      <c r="G696" s="31" t="n">
        <v>127546</v>
      </c>
      <c r="H696" s="31" t="n">
        <v>25</v>
      </c>
      <c r="I696" s="32" t="n">
        <v>38.94000041</v>
      </c>
      <c r="J696" s="31" t="n">
        <v>2</v>
      </c>
      <c r="K696" s="31" t="n">
        <v>0</v>
      </c>
    </row>
    <row r="697" customFormat="false" ht="15" hidden="false" customHeight="false" outlineLevel="0" collapsed="false">
      <c r="A697" s="31" t="n">
        <v>1121890</v>
      </c>
      <c r="B697" s="31" t="n">
        <v>1178</v>
      </c>
      <c r="C697" s="31" t="n">
        <v>144672</v>
      </c>
      <c r="D697" s="31" t="s">
        <v>58</v>
      </c>
      <c r="E697" s="31" t="s">
        <v>63</v>
      </c>
      <c r="F697" s="31" t="n">
        <v>10</v>
      </c>
      <c r="G697" s="31" t="n">
        <v>127865</v>
      </c>
      <c r="H697" s="31" t="n">
        <v>28</v>
      </c>
      <c r="I697" s="32" t="n">
        <v>38.02999961</v>
      </c>
      <c r="J697" s="31" t="n">
        <v>3</v>
      </c>
      <c r="K697" s="31" t="n">
        <v>1</v>
      </c>
    </row>
    <row r="698" customFormat="false" ht="15" hidden="false" customHeight="false" outlineLevel="0" collapsed="false">
      <c r="A698" s="31" t="n">
        <v>1121891</v>
      </c>
      <c r="B698" s="31" t="n">
        <v>1178</v>
      </c>
      <c r="C698" s="31" t="n">
        <v>144672</v>
      </c>
      <c r="D698" s="31" t="s">
        <v>58</v>
      </c>
      <c r="E698" s="31" t="s">
        <v>63</v>
      </c>
      <c r="F698" s="31" t="n">
        <v>10</v>
      </c>
      <c r="G698" s="31" t="n">
        <v>1025327</v>
      </c>
      <c r="H698" s="31" t="n">
        <v>229</v>
      </c>
      <c r="I698" s="32" t="n">
        <v>314.2999983</v>
      </c>
      <c r="J698" s="31" t="n">
        <v>16</v>
      </c>
      <c r="K698" s="31" t="n">
        <v>2</v>
      </c>
    </row>
    <row r="699" customFormat="false" ht="15" hidden="false" customHeight="false" outlineLevel="0" collapsed="false">
      <c r="A699" s="31" t="n">
        <v>1121894</v>
      </c>
      <c r="B699" s="31" t="n">
        <v>1178</v>
      </c>
      <c r="C699" s="31" t="n">
        <v>144672</v>
      </c>
      <c r="D699" s="31" t="s">
        <v>58</v>
      </c>
      <c r="E699" s="31" t="s">
        <v>63</v>
      </c>
      <c r="F699" s="31" t="n">
        <v>10</v>
      </c>
      <c r="G699" s="31" t="n">
        <v>561415</v>
      </c>
      <c r="H699" s="31" t="n">
        <v>124</v>
      </c>
      <c r="I699" s="32" t="n">
        <v>173.76</v>
      </c>
      <c r="J699" s="31" t="n">
        <v>3</v>
      </c>
      <c r="K699" s="31" t="n">
        <v>0</v>
      </c>
    </row>
    <row r="700" customFormat="false" ht="15" hidden="false" customHeight="false" outlineLevel="0" collapsed="false">
      <c r="A700" s="31" t="n">
        <v>1121895</v>
      </c>
      <c r="B700" s="31" t="n">
        <v>1178</v>
      </c>
      <c r="C700" s="31" t="n">
        <v>144673</v>
      </c>
      <c r="D700" s="31" t="s">
        <v>58</v>
      </c>
      <c r="E700" s="31" t="s">
        <v>63</v>
      </c>
      <c r="F700" s="31" t="n">
        <v>15</v>
      </c>
      <c r="G700" s="31" t="n">
        <v>132803</v>
      </c>
      <c r="H700" s="31" t="n">
        <v>25</v>
      </c>
      <c r="I700" s="32" t="n">
        <v>37.32000124</v>
      </c>
      <c r="J700" s="31" t="n">
        <v>2</v>
      </c>
      <c r="K700" s="31" t="n">
        <v>1</v>
      </c>
    </row>
    <row r="701" customFormat="false" ht="15" hidden="false" customHeight="false" outlineLevel="0" collapsed="false">
      <c r="A701" s="31" t="n">
        <v>1121897</v>
      </c>
      <c r="B701" s="31" t="n">
        <v>1178</v>
      </c>
      <c r="C701" s="31" t="n">
        <v>144673</v>
      </c>
      <c r="D701" s="31" t="s">
        <v>58</v>
      </c>
      <c r="E701" s="31" t="s">
        <v>63</v>
      </c>
      <c r="F701" s="31" t="n">
        <v>15</v>
      </c>
      <c r="G701" s="31" t="n">
        <v>24664</v>
      </c>
      <c r="H701" s="31" t="n">
        <v>2</v>
      </c>
      <c r="I701" s="32" t="n">
        <v>2.629999995</v>
      </c>
      <c r="J701" s="31" t="n">
        <v>1</v>
      </c>
      <c r="K701" s="31" t="n">
        <v>1</v>
      </c>
    </row>
    <row r="702" customFormat="false" ht="15" hidden="false" customHeight="false" outlineLevel="0" collapsed="false">
      <c r="A702" s="31" t="n">
        <v>1121901</v>
      </c>
      <c r="B702" s="31" t="n">
        <v>1178</v>
      </c>
      <c r="C702" s="31" t="n">
        <v>144674</v>
      </c>
      <c r="D702" s="31" t="s">
        <v>58</v>
      </c>
      <c r="E702" s="31" t="s">
        <v>63</v>
      </c>
      <c r="F702" s="31" t="n">
        <v>16</v>
      </c>
      <c r="G702" s="31" t="n">
        <v>1020561</v>
      </c>
      <c r="H702" s="31" t="n">
        <v>172</v>
      </c>
      <c r="I702" s="32" t="n">
        <v>263.8100007</v>
      </c>
      <c r="J702" s="31" t="n">
        <v>7</v>
      </c>
      <c r="K702" s="31" t="n">
        <v>3</v>
      </c>
    </row>
    <row r="703" customFormat="false" ht="15" hidden="false" customHeight="false" outlineLevel="0" collapsed="false">
      <c r="A703" s="31" t="n">
        <v>1121902</v>
      </c>
      <c r="B703" s="31" t="n">
        <v>1178</v>
      </c>
      <c r="C703" s="31" t="n">
        <v>144674</v>
      </c>
      <c r="D703" s="31" t="s">
        <v>58</v>
      </c>
      <c r="E703" s="31" t="s">
        <v>63</v>
      </c>
      <c r="F703" s="31" t="n">
        <v>16</v>
      </c>
      <c r="G703" s="31" t="n">
        <v>682143</v>
      </c>
      <c r="H703" s="31" t="n">
        <v>114</v>
      </c>
      <c r="I703" s="32" t="n">
        <v>177.1099993</v>
      </c>
      <c r="J703" s="31" t="n">
        <v>6</v>
      </c>
      <c r="K703" s="31" t="n">
        <v>2</v>
      </c>
    </row>
    <row r="704" customFormat="false" ht="15" hidden="false" customHeight="false" outlineLevel="0" collapsed="false">
      <c r="A704" s="31" t="n">
        <v>1121903</v>
      </c>
      <c r="B704" s="31" t="n">
        <v>1178</v>
      </c>
      <c r="C704" s="31" t="n">
        <v>144674</v>
      </c>
      <c r="D704" s="31" t="s">
        <v>58</v>
      </c>
      <c r="E704" s="31" t="s">
        <v>63</v>
      </c>
      <c r="F704" s="31" t="n">
        <v>16</v>
      </c>
      <c r="G704" s="31" t="n">
        <v>1247717</v>
      </c>
      <c r="H704" s="31" t="n">
        <v>222</v>
      </c>
      <c r="I704" s="32" t="n">
        <v>343.4199994</v>
      </c>
      <c r="J704" s="31" t="n">
        <v>11</v>
      </c>
      <c r="K704" s="31" t="n">
        <v>4</v>
      </c>
    </row>
    <row r="705" customFormat="false" ht="15" hidden="false" customHeight="false" outlineLevel="0" collapsed="false">
      <c r="A705" s="31" t="n">
        <v>1121904</v>
      </c>
      <c r="B705" s="31" t="n">
        <v>1178</v>
      </c>
      <c r="C705" s="31" t="n">
        <v>144674</v>
      </c>
      <c r="D705" s="31" t="s">
        <v>58</v>
      </c>
      <c r="E705" s="31" t="s">
        <v>63</v>
      </c>
      <c r="F705" s="31" t="n">
        <v>16</v>
      </c>
      <c r="G705" s="31" t="n">
        <v>146406</v>
      </c>
      <c r="H705" s="31" t="n">
        <v>23</v>
      </c>
      <c r="I705" s="32" t="n">
        <v>33.22999942</v>
      </c>
      <c r="J705" s="31" t="n">
        <v>1</v>
      </c>
      <c r="K705" s="31" t="n">
        <v>1</v>
      </c>
    </row>
    <row r="706" customFormat="false" ht="15" hidden="false" customHeight="false" outlineLevel="0" collapsed="false">
      <c r="A706" s="31" t="n">
        <v>1121905</v>
      </c>
      <c r="B706" s="31" t="n">
        <v>1178</v>
      </c>
      <c r="C706" s="31" t="n">
        <v>144674</v>
      </c>
      <c r="D706" s="31" t="s">
        <v>58</v>
      </c>
      <c r="E706" s="31" t="s">
        <v>63</v>
      </c>
      <c r="F706" s="31" t="n">
        <v>16</v>
      </c>
      <c r="G706" s="31" t="n">
        <v>905699</v>
      </c>
      <c r="H706" s="31" t="n">
        <v>161</v>
      </c>
      <c r="I706" s="32" t="n">
        <v>234.6599982</v>
      </c>
      <c r="J706" s="31" t="n">
        <v>4</v>
      </c>
      <c r="K706" s="31" t="n">
        <v>1</v>
      </c>
    </row>
    <row r="707" customFormat="false" ht="15" hidden="false" customHeight="false" outlineLevel="0" collapsed="false">
      <c r="A707" s="31" t="n">
        <v>1121906</v>
      </c>
      <c r="B707" s="31" t="n">
        <v>1178</v>
      </c>
      <c r="C707" s="31" t="n">
        <v>144674</v>
      </c>
      <c r="D707" s="31" t="s">
        <v>58</v>
      </c>
      <c r="E707" s="31" t="s">
        <v>63</v>
      </c>
      <c r="F707" s="31" t="n">
        <v>16</v>
      </c>
      <c r="G707" s="31" t="n">
        <v>1184580</v>
      </c>
      <c r="H707" s="31" t="n">
        <v>194</v>
      </c>
      <c r="I707" s="32" t="n">
        <v>297.8299981</v>
      </c>
      <c r="J707" s="31" t="n">
        <v>14</v>
      </c>
      <c r="K707" s="31" t="n">
        <v>3</v>
      </c>
    </row>
    <row r="708" customFormat="false" ht="15" hidden="false" customHeight="false" outlineLevel="0" collapsed="false">
      <c r="A708" s="31" t="n">
        <v>1121907</v>
      </c>
      <c r="B708" s="31" t="n">
        <v>1178</v>
      </c>
      <c r="C708" s="31" t="n">
        <v>144675</v>
      </c>
      <c r="D708" s="31" t="s">
        <v>58</v>
      </c>
      <c r="E708" s="31" t="s">
        <v>63</v>
      </c>
      <c r="F708" s="31" t="n">
        <v>18</v>
      </c>
      <c r="G708" s="31" t="n">
        <v>98057</v>
      </c>
      <c r="H708" s="31" t="n">
        <v>20</v>
      </c>
      <c r="I708" s="32" t="n">
        <v>31.00999963</v>
      </c>
      <c r="J708" s="31" t="n">
        <v>1</v>
      </c>
      <c r="K708" s="31" t="n">
        <v>1</v>
      </c>
    </row>
    <row r="709" customFormat="false" ht="15" hidden="false" customHeight="false" outlineLevel="0" collapsed="false">
      <c r="A709" s="31" t="n">
        <v>1121917</v>
      </c>
      <c r="B709" s="31" t="n">
        <v>1178</v>
      </c>
      <c r="C709" s="31" t="n">
        <v>144676</v>
      </c>
      <c r="D709" s="31" t="s">
        <v>58</v>
      </c>
      <c r="E709" s="31" t="s">
        <v>63</v>
      </c>
      <c r="F709" s="31" t="n">
        <v>19</v>
      </c>
      <c r="G709" s="31" t="n">
        <v>238735</v>
      </c>
      <c r="H709" s="31" t="n">
        <v>56</v>
      </c>
      <c r="I709" s="32" t="n">
        <v>84.65999889</v>
      </c>
      <c r="J709" s="31" t="n">
        <v>4</v>
      </c>
      <c r="K709" s="31" t="n">
        <v>1</v>
      </c>
    </row>
    <row r="710" customFormat="false" ht="15" hidden="false" customHeight="false" outlineLevel="0" collapsed="false">
      <c r="A710" s="31" t="n">
        <v>1121918</v>
      </c>
      <c r="B710" s="31" t="n">
        <v>1178</v>
      </c>
      <c r="C710" s="31" t="n">
        <v>144676</v>
      </c>
      <c r="D710" s="31" t="s">
        <v>58</v>
      </c>
      <c r="E710" s="31" t="s">
        <v>63</v>
      </c>
      <c r="F710" s="31" t="n">
        <v>19</v>
      </c>
      <c r="G710" s="31" t="n">
        <v>320657</v>
      </c>
      <c r="H710" s="31" t="n">
        <v>77</v>
      </c>
      <c r="I710" s="32" t="n">
        <v>115.8800026</v>
      </c>
      <c r="J710" s="31" t="n">
        <v>2</v>
      </c>
      <c r="K710" s="31" t="n">
        <v>0</v>
      </c>
    </row>
    <row r="711" customFormat="false" ht="15" hidden="false" customHeight="false" outlineLevel="0" collapsed="false">
      <c r="A711" s="31" t="n">
        <v>1121925</v>
      </c>
      <c r="B711" s="31" t="n">
        <v>1178</v>
      </c>
      <c r="C711" s="31" t="n">
        <v>144678</v>
      </c>
      <c r="D711" s="31" t="s">
        <v>58</v>
      </c>
      <c r="E711" s="31" t="s">
        <v>63</v>
      </c>
      <c r="F711" s="31" t="n">
        <v>21</v>
      </c>
      <c r="G711" s="31" t="n">
        <v>244074</v>
      </c>
      <c r="H711" s="31" t="n">
        <v>57</v>
      </c>
      <c r="I711" s="32" t="n">
        <v>84.51000023</v>
      </c>
      <c r="J711" s="31" t="n">
        <v>4</v>
      </c>
      <c r="K711" s="31" t="n">
        <v>2</v>
      </c>
    </row>
    <row r="712" customFormat="false" ht="15" hidden="false" customHeight="false" outlineLevel="0" collapsed="false">
      <c r="A712" s="31" t="n">
        <v>1121928</v>
      </c>
      <c r="B712" s="31" t="n">
        <v>1178</v>
      </c>
      <c r="C712" s="31" t="n">
        <v>144678</v>
      </c>
      <c r="D712" s="31" t="s">
        <v>58</v>
      </c>
      <c r="E712" s="31" t="s">
        <v>63</v>
      </c>
      <c r="F712" s="31" t="n">
        <v>21</v>
      </c>
      <c r="G712" s="31" t="n">
        <v>39146</v>
      </c>
      <c r="H712" s="31" t="n">
        <v>8</v>
      </c>
      <c r="I712" s="32" t="n">
        <v>13.05999959</v>
      </c>
      <c r="J712" s="31" t="n">
        <v>1</v>
      </c>
      <c r="K712" s="31" t="n">
        <v>0</v>
      </c>
    </row>
    <row r="713" customFormat="false" ht="15" hidden="false" customHeight="false" outlineLevel="0" collapsed="false">
      <c r="A713" s="31" t="n">
        <v>1121931</v>
      </c>
      <c r="B713" s="31" t="n">
        <v>1178</v>
      </c>
      <c r="C713" s="31" t="n">
        <v>144679</v>
      </c>
      <c r="D713" s="31" t="s">
        <v>58</v>
      </c>
      <c r="E713" s="31" t="s">
        <v>63</v>
      </c>
      <c r="F713" s="31" t="n">
        <v>22</v>
      </c>
      <c r="G713" s="31" t="n">
        <v>78468</v>
      </c>
      <c r="H713" s="31" t="n">
        <v>15</v>
      </c>
      <c r="I713" s="32" t="n">
        <v>23.64999962</v>
      </c>
      <c r="J713" s="31" t="n">
        <v>1</v>
      </c>
      <c r="K713" s="31" t="n">
        <v>0</v>
      </c>
    </row>
    <row r="714" customFormat="false" ht="15" hidden="false" customHeight="false" outlineLevel="0" collapsed="false">
      <c r="A714" s="31" t="n">
        <v>1121933</v>
      </c>
      <c r="B714" s="31" t="n">
        <v>1178</v>
      </c>
      <c r="C714" s="31" t="n">
        <v>144679</v>
      </c>
      <c r="D714" s="31" t="s">
        <v>58</v>
      </c>
      <c r="E714" s="31" t="s">
        <v>63</v>
      </c>
      <c r="F714" s="31" t="n">
        <v>22</v>
      </c>
      <c r="G714" s="31" t="n">
        <v>325653</v>
      </c>
      <c r="H714" s="31" t="n">
        <v>63</v>
      </c>
      <c r="I714" s="32" t="n">
        <v>89.35000026</v>
      </c>
      <c r="J714" s="31" t="n">
        <v>2</v>
      </c>
      <c r="K714" s="31" t="n">
        <v>0</v>
      </c>
    </row>
    <row r="715" customFormat="false" ht="15" hidden="false" customHeight="false" outlineLevel="0" collapsed="false">
      <c r="A715" s="31" t="n">
        <v>1121935</v>
      </c>
      <c r="B715" s="31" t="n">
        <v>1178</v>
      </c>
      <c r="C715" s="31" t="n">
        <v>144679</v>
      </c>
      <c r="D715" s="31" t="s">
        <v>58</v>
      </c>
      <c r="E715" s="31" t="s">
        <v>63</v>
      </c>
      <c r="F715" s="31" t="n">
        <v>22</v>
      </c>
      <c r="G715" s="31" t="n">
        <v>66277</v>
      </c>
      <c r="H715" s="31" t="n">
        <v>12</v>
      </c>
      <c r="I715" s="32" t="n">
        <v>17.30000019</v>
      </c>
      <c r="J715" s="31" t="n">
        <v>1</v>
      </c>
      <c r="K715" s="31" t="n">
        <v>0</v>
      </c>
    </row>
    <row r="716" customFormat="false" ht="15" hidden="false" customHeight="false" outlineLevel="0" collapsed="false">
      <c r="A716" s="31" t="n">
        <v>1121936</v>
      </c>
      <c r="B716" s="31" t="n">
        <v>1178</v>
      </c>
      <c r="C716" s="31" t="n">
        <v>144679</v>
      </c>
      <c r="D716" s="31" t="s">
        <v>58</v>
      </c>
      <c r="E716" s="31" t="s">
        <v>63</v>
      </c>
      <c r="F716" s="31" t="n">
        <v>22</v>
      </c>
      <c r="G716" s="31" t="n">
        <v>93002</v>
      </c>
      <c r="H716" s="31" t="n">
        <v>16</v>
      </c>
      <c r="I716" s="32" t="n">
        <v>23.33999968</v>
      </c>
      <c r="J716" s="31" t="n">
        <v>1</v>
      </c>
      <c r="K716" s="31" t="n">
        <v>0</v>
      </c>
    </row>
    <row r="717" customFormat="false" ht="15" hidden="false" customHeight="false" outlineLevel="0" collapsed="false">
      <c r="A717" s="31" t="n">
        <v>1121944</v>
      </c>
      <c r="B717" s="31" t="n">
        <v>1178</v>
      </c>
      <c r="C717" s="31" t="n">
        <v>144681</v>
      </c>
      <c r="D717" s="31" t="s">
        <v>58</v>
      </c>
      <c r="E717" s="31" t="s">
        <v>63</v>
      </c>
      <c r="F717" s="31" t="n">
        <v>24</v>
      </c>
      <c r="G717" s="31" t="n">
        <v>109723</v>
      </c>
      <c r="H717" s="31" t="n">
        <v>27</v>
      </c>
      <c r="I717" s="32" t="n">
        <v>40.9600004</v>
      </c>
      <c r="J717" s="31" t="n">
        <v>1</v>
      </c>
      <c r="K717" s="31" t="n">
        <v>0</v>
      </c>
    </row>
    <row r="718" customFormat="false" ht="15" hidden="false" customHeight="false" outlineLevel="0" collapsed="false">
      <c r="A718" s="31" t="n">
        <v>1121948</v>
      </c>
      <c r="B718" s="31" t="n">
        <v>1178</v>
      </c>
      <c r="C718" s="31" t="n">
        <v>144681</v>
      </c>
      <c r="D718" s="31" t="s">
        <v>58</v>
      </c>
      <c r="E718" s="31" t="s">
        <v>63</v>
      </c>
      <c r="F718" s="31" t="n">
        <v>24</v>
      </c>
      <c r="G718" s="31" t="n">
        <v>118941</v>
      </c>
      <c r="H718" s="31" t="n">
        <v>35</v>
      </c>
      <c r="I718" s="32" t="n">
        <v>50.11000001</v>
      </c>
      <c r="J718" s="31" t="n">
        <v>4</v>
      </c>
      <c r="K718" s="31" t="n">
        <v>1</v>
      </c>
    </row>
    <row r="719" customFormat="false" ht="15" hidden="false" customHeight="false" outlineLevel="0" collapsed="false">
      <c r="A719" s="31" t="n">
        <v>1121949</v>
      </c>
      <c r="B719" s="31" t="n">
        <v>1178</v>
      </c>
      <c r="C719" s="31" t="n">
        <v>144682</v>
      </c>
      <c r="D719" s="31" t="s">
        <v>58</v>
      </c>
      <c r="E719" s="31" t="s">
        <v>63</v>
      </c>
      <c r="F719" s="31" t="n">
        <v>25</v>
      </c>
      <c r="G719" s="31" t="n">
        <v>221576</v>
      </c>
      <c r="H719" s="31" t="n">
        <v>47</v>
      </c>
      <c r="I719" s="32" t="n">
        <v>66.79000068</v>
      </c>
      <c r="J719" s="31" t="n">
        <v>6</v>
      </c>
      <c r="K719" s="31" t="n">
        <v>1</v>
      </c>
    </row>
    <row r="720" customFormat="false" ht="15" hidden="false" customHeight="false" outlineLevel="0" collapsed="false">
      <c r="A720" s="31" t="n">
        <v>1121953</v>
      </c>
      <c r="B720" s="31" t="n">
        <v>1178</v>
      </c>
      <c r="C720" s="31" t="n">
        <v>144682</v>
      </c>
      <c r="D720" s="31" t="s">
        <v>58</v>
      </c>
      <c r="E720" s="31" t="s">
        <v>63</v>
      </c>
      <c r="F720" s="31" t="n">
        <v>25</v>
      </c>
      <c r="G720" s="31" t="n">
        <v>8341</v>
      </c>
      <c r="H720" s="31" t="n">
        <v>1</v>
      </c>
      <c r="I720" s="32" t="n">
        <v>1.639999986</v>
      </c>
      <c r="J720" s="31" t="n">
        <v>1</v>
      </c>
      <c r="K720" s="31" t="n">
        <v>0</v>
      </c>
    </row>
    <row r="721" customFormat="false" ht="15" hidden="false" customHeight="false" outlineLevel="0" collapsed="false">
      <c r="A721" s="31" t="n">
        <v>1121954</v>
      </c>
      <c r="B721" s="31" t="n">
        <v>1178</v>
      </c>
      <c r="C721" s="31" t="n">
        <v>144682</v>
      </c>
      <c r="D721" s="31" t="s">
        <v>58</v>
      </c>
      <c r="E721" s="31" t="s">
        <v>63</v>
      </c>
      <c r="F721" s="31" t="n">
        <v>25</v>
      </c>
      <c r="G721" s="31" t="n">
        <v>120335</v>
      </c>
      <c r="H721" s="31" t="n">
        <v>26</v>
      </c>
      <c r="I721" s="32" t="n">
        <v>36.2299993</v>
      </c>
      <c r="J721" s="31" t="n">
        <v>2</v>
      </c>
      <c r="K721" s="31" t="n">
        <v>0</v>
      </c>
    </row>
    <row r="722" customFormat="false" ht="15" hidden="false" customHeight="false" outlineLevel="0" collapsed="false">
      <c r="A722" s="31" t="n">
        <v>1121955</v>
      </c>
      <c r="B722" s="31" t="n">
        <v>1178</v>
      </c>
      <c r="C722" s="31" t="n">
        <v>144683</v>
      </c>
      <c r="D722" s="31" t="s">
        <v>58</v>
      </c>
      <c r="E722" s="31" t="s">
        <v>63</v>
      </c>
      <c r="F722" s="31" t="n">
        <v>26</v>
      </c>
      <c r="G722" s="31" t="n">
        <v>182098</v>
      </c>
      <c r="H722" s="31" t="n">
        <v>40</v>
      </c>
      <c r="I722" s="32" t="n">
        <v>62.86999989</v>
      </c>
      <c r="J722" s="31" t="n">
        <v>1</v>
      </c>
      <c r="K722" s="31" t="n">
        <v>1</v>
      </c>
    </row>
    <row r="723" customFormat="false" ht="15" hidden="false" customHeight="false" outlineLevel="0" collapsed="false">
      <c r="A723" s="31" t="n">
        <v>1121956</v>
      </c>
      <c r="B723" s="31" t="n">
        <v>1178</v>
      </c>
      <c r="C723" s="31" t="n">
        <v>144683</v>
      </c>
      <c r="D723" s="31" t="s">
        <v>58</v>
      </c>
      <c r="E723" s="31" t="s">
        <v>63</v>
      </c>
      <c r="F723" s="31" t="n">
        <v>26</v>
      </c>
      <c r="G723" s="31" t="n">
        <v>227473</v>
      </c>
      <c r="H723" s="31" t="n">
        <v>52</v>
      </c>
      <c r="I723" s="32" t="n">
        <v>71.58000052</v>
      </c>
      <c r="J723" s="31" t="n">
        <v>1</v>
      </c>
      <c r="K723" s="31" t="n">
        <v>1</v>
      </c>
    </row>
    <row r="724" customFormat="false" ht="15" hidden="false" customHeight="false" outlineLevel="0" collapsed="false">
      <c r="A724" s="31" t="n">
        <v>1121962</v>
      </c>
      <c r="B724" s="31" t="n">
        <v>1178</v>
      </c>
      <c r="C724" s="31" t="n">
        <v>144684</v>
      </c>
      <c r="D724" s="31" t="s">
        <v>58</v>
      </c>
      <c r="E724" s="31" t="s">
        <v>63</v>
      </c>
      <c r="F724" s="31" t="n">
        <v>27</v>
      </c>
      <c r="G724" s="31" t="n">
        <v>1050947</v>
      </c>
      <c r="H724" s="31" t="n">
        <v>230</v>
      </c>
      <c r="I724" s="32" t="n">
        <v>350.5099957</v>
      </c>
      <c r="J724" s="31" t="n">
        <v>6</v>
      </c>
      <c r="K724" s="31" t="n">
        <v>1</v>
      </c>
    </row>
    <row r="725" customFormat="false" ht="15" hidden="false" customHeight="false" outlineLevel="0" collapsed="false">
      <c r="A725" s="31" t="n">
        <v>1121963</v>
      </c>
      <c r="B725" s="31" t="n">
        <v>1178</v>
      </c>
      <c r="C725" s="31" t="n">
        <v>144684</v>
      </c>
      <c r="D725" s="31" t="s">
        <v>58</v>
      </c>
      <c r="E725" s="31" t="s">
        <v>63</v>
      </c>
      <c r="F725" s="31" t="n">
        <v>27</v>
      </c>
      <c r="G725" s="31" t="n">
        <v>720859</v>
      </c>
      <c r="H725" s="31" t="n">
        <v>162</v>
      </c>
      <c r="I725" s="32" t="n">
        <v>213.6899986</v>
      </c>
      <c r="J725" s="31" t="n">
        <v>13</v>
      </c>
      <c r="K725" s="31" t="n">
        <v>5</v>
      </c>
    </row>
    <row r="726" customFormat="false" ht="15" hidden="false" customHeight="false" outlineLevel="0" collapsed="false">
      <c r="A726" s="31" t="n">
        <v>1121971</v>
      </c>
      <c r="B726" s="31" t="n">
        <v>1178</v>
      </c>
      <c r="C726" s="31" t="n">
        <v>144685</v>
      </c>
      <c r="D726" s="31" t="s">
        <v>58</v>
      </c>
      <c r="E726" s="31" t="s">
        <v>63</v>
      </c>
      <c r="F726" s="31" t="n">
        <v>28</v>
      </c>
      <c r="G726" s="31" t="n">
        <v>41111</v>
      </c>
      <c r="H726" s="31" t="n">
        <v>8</v>
      </c>
      <c r="I726" s="32" t="n">
        <v>10.96000016</v>
      </c>
      <c r="J726" s="31" t="n">
        <v>1</v>
      </c>
      <c r="K726" s="31" t="n">
        <v>0</v>
      </c>
    </row>
    <row r="727" customFormat="false" ht="15" hidden="false" customHeight="false" outlineLevel="0" collapsed="false">
      <c r="A727" s="31" t="n">
        <v>1121973</v>
      </c>
      <c r="B727" s="31" t="n">
        <v>1178</v>
      </c>
      <c r="C727" s="31" t="n">
        <v>144686</v>
      </c>
      <c r="D727" s="31" t="s">
        <v>58</v>
      </c>
      <c r="E727" s="31" t="s">
        <v>63</v>
      </c>
      <c r="F727" s="31" t="n">
        <v>29</v>
      </c>
      <c r="G727" s="31" t="n">
        <v>148616</v>
      </c>
      <c r="H727" s="31" t="n">
        <v>25</v>
      </c>
      <c r="I727" s="32" t="n">
        <v>37.39999962</v>
      </c>
      <c r="J727" s="31" t="n">
        <v>6</v>
      </c>
      <c r="K727" s="31" t="n">
        <v>4</v>
      </c>
    </row>
    <row r="728" customFormat="false" ht="15" hidden="false" customHeight="false" outlineLevel="0" collapsed="false">
      <c r="A728" s="31" t="n">
        <v>1121976</v>
      </c>
      <c r="B728" s="31" t="n">
        <v>1178</v>
      </c>
      <c r="C728" s="31" t="n">
        <v>144686</v>
      </c>
      <c r="D728" s="31" t="s">
        <v>58</v>
      </c>
      <c r="E728" s="31" t="s">
        <v>63</v>
      </c>
      <c r="F728" s="31" t="n">
        <v>29</v>
      </c>
      <c r="G728" s="31" t="n">
        <v>707260</v>
      </c>
      <c r="H728" s="31" t="n">
        <v>135</v>
      </c>
      <c r="I728" s="32" t="n">
        <v>210.8200028</v>
      </c>
      <c r="J728" s="31" t="n">
        <v>13</v>
      </c>
      <c r="K728" s="31" t="n">
        <v>6</v>
      </c>
    </row>
    <row r="729" customFormat="false" ht="15" hidden="false" customHeight="false" outlineLevel="0" collapsed="false">
      <c r="A729" s="31" t="n">
        <v>1121977</v>
      </c>
      <c r="B729" s="31" t="n">
        <v>1178</v>
      </c>
      <c r="C729" s="31" t="n">
        <v>144686</v>
      </c>
      <c r="D729" s="31" t="s">
        <v>58</v>
      </c>
      <c r="E729" s="31" t="s">
        <v>63</v>
      </c>
      <c r="F729" s="31" t="n">
        <v>29</v>
      </c>
      <c r="G729" s="31" t="n">
        <v>139596</v>
      </c>
      <c r="H729" s="31" t="n">
        <v>26</v>
      </c>
      <c r="I729" s="32" t="n">
        <v>42.41000032</v>
      </c>
      <c r="J729" s="31" t="n">
        <v>1</v>
      </c>
      <c r="K729" s="31" t="n">
        <v>1</v>
      </c>
    </row>
    <row r="730" customFormat="false" ht="15" hidden="false" customHeight="false" outlineLevel="0" collapsed="false">
      <c r="A730" s="31" t="n">
        <v>1121983</v>
      </c>
      <c r="B730" s="31" t="n">
        <v>1178</v>
      </c>
      <c r="C730" s="31" t="n">
        <v>144687</v>
      </c>
      <c r="D730" s="31" t="s">
        <v>58</v>
      </c>
      <c r="E730" s="31" t="s">
        <v>63</v>
      </c>
      <c r="F730" s="31" t="n">
        <v>30</v>
      </c>
      <c r="G730" s="31" t="n">
        <v>105399</v>
      </c>
      <c r="H730" s="31" t="n">
        <v>22</v>
      </c>
      <c r="I730" s="32" t="n">
        <v>33.19999933</v>
      </c>
      <c r="J730" s="31" t="n">
        <v>2</v>
      </c>
      <c r="K730" s="31" t="n">
        <v>0</v>
      </c>
    </row>
    <row r="731" customFormat="false" ht="15" hidden="false" customHeight="false" outlineLevel="0" collapsed="false">
      <c r="A731" s="31" t="n">
        <v>1121994</v>
      </c>
      <c r="B731" s="31" t="n">
        <v>1178</v>
      </c>
      <c r="C731" s="31" t="n">
        <v>144689</v>
      </c>
      <c r="D731" s="31" t="s">
        <v>58</v>
      </c>
      <c r="E731" s="31" t="s">
        <v>63</v>
      </c>
      <c r="F731" s="31" t="n">
        <v>32</v>
      </c>
      <c r="G731" s="31" t="n">
        <v>222378</v>
      </c>
      <c r="H731" s="31" t="n">
        <v>50</v>
      </c>
      <c r="I731" s="32" t="n">
        <v>72.91000104</v>
      </c>
      <c r="J731" s="31" t="n">
        <v>1</v>
      </c>
      <c r="K731" s="31" t="n">
        <v>0</v>
      </c>
    </row>
    <row r="732" customFormat="false" ht="15" hidden="false" customHeight="false" outlineLevel="0" collapsed="false">
      <c r="A732" s="31" t="n">
        <v>1122003</v>
      </c>
      <c r="B732" s="31" t="n">
        <v>1178</v>
      </c>
      <c r="C732" s="31" t="n">
        <v>144691</v>
      </c>
      <c r="D732" s="31" t="s">
        <v>58</v>
      </c>
      <c r="E732" s="31" t="s">
        <v>63</v>
      </c>
      <c r="F732" s="31" t="n">
        <v>63</v>
      </c>
      <c r="G732" s="31" t="n">
        <v>975792</v>
      </c>
      <c r="H732" s="31" t="n">
        <v>210</v>
      </c>
      <c r="I732" s="32" t="n">
        <v>293.8800011</v>
      </c>
      <c r="J732" s="31" t="n">
        <v>10</v>
      </c>
      <c r="K732" s="31" t="n">
        <v>4</v>
      </c>
    </row>
    <row r="733" customFormat="false" ht="15" hidden="false" customHeight="false" outlineLevel="0" collapsed="false">
      <c r="A733" s="31" t="n">
        <v>1122004</v>
      </c>
      <c r="B733" s="31" t="n">
        <v>1178</v>
      </c>
      <c r="C733" s="31" t="n">
        <v>144691</v>
      </c>
      <c r="D733" s="31" t="s">
        <v>58</v>
      </c>
      <c r="E733" s="31" t="s">
        <v>63</v>
      </c>
      <c r="F733" s="31" t="n">
        <v>63</v>
      </c>
      <c r="G733" s="31" t="n">
        <v>579150</v>
      </c>
      <c r="H733" s="31" t="n">
        <v>125</v>
      </c>
      <c r="I733" s="32" t="n">
        <v>167.0499997</v>
      </c>
      <c r="J733" s="31" t="n">
        <v>5</v>
      </c>
      <c r="K733" s="31" t="n">
        <v>1</v>
      </c>
    </row>
    <row r="734" customFormat="false" ht="15" hidden="false" customHeight="false" outlineLevel="0" collapsed="false">
      <c r="A734" s="31" t="n">
        <v>1122005</v>
      </c>
      <c r="B734" s="31" t="n">
        <v>1178</v>
      </c>
      <c r="C734" s="31" t="n">
        <v>144691</v>
      </c>
      <c r="D734" s="31" t="s">
        <v>58</v>
      </c>
      <c r="E734" s="31" t="s">
        <v>63</v>
      </c>
      <c r="F734" s="31" t="n">
        <v>63</v>
      </c>
      <c r="G734" s="31" t="n">
        <v>449588</v>
      </c>
      <c r="H734" s="31" t="n">
        <v>81</v>
      </c>
      <c r="I734" s="32" t="n">
        <v>123.800001</v>
      </c>
      <c r="J734" s="31" t="n">
        <v>5</v>
      </c>
      <c r="K734" s="31" t="n">
        <v>2</v>
      </c>
    </row>
    <row r="735" customFormat="false" ht="15" hidden="false" customHeight="false" outlineLevel="0" collapsed="false">
      <c r="A735" s="31" t="n">
        <v>1122006</v>
      </c>
      <c r="B735" s="31" t="n">
        <v>1178</v>
      </c>
      <c r="C735" s="31" t="n">
        <v>144691</v>
      </c>
      <c r="D735" s="31" t="s">
        <v>58</v>
      </c>
      <c r="E735" s="31" t="s">
        <v>63</v>
      </c>
      <c r="F735" s="31" t="n">
        <v>63</v>
      </c>
      <c r="G735" s="31" t="n">
        <v>318157</v>
      </c>
      <c r="H735" s="31" t="n">
        <v>56</v>
      </c>
      <c r="I735" s="32" t="n">
        <v>85.70000196</v>
      </c>
      <c r="J735" s="31" t="n">
        <v>3</v>
      </c>
      <c r="K735" s="31" t="n">
        <v>0</v>
      </c>
    </row>
    <row r="736" customFormat="false" ht="15" hidden="false" customHeight="false" outlineLevel="0" collapsed="false">
      <c r="A736" s="31" t="n">
        <v>1122007</v>
      </c>
      <c r="B736" s="31" t="n">
        <v>1178</v>
      </c>
      <c r="C736" s="31" t="n">
        <v>144691</v>
      </c>
      <c r="D736" s="31" t="s">
        <v>58</v>
      </c>
      <c r="E736" s="31" t="s">
        <v>63</v>
      </c>
      <c r="F736" s="31" t="n">
        <v>63</v>
      </c>
      <c r="G736" s="31" t="n">
        <v>196967</v>
      </c>
      <c r="H736" s="31" t="n">
        <v>43</v>
      </c>
      <c r="I736" s="32" t="n">
        <v>65.17999971</v>
      </c>
      <c r="J736" s="31" t="n">
        <v>2</v>
      </c>
      <c r="K736" s="31" t="n">
        <v>1</v>
      </c>
    </row>
    <row r="737" customFormat="false" ht="15" hidden="false" customHeight="false" outlineLevel="0" collapsed="false">
      <c r="A737" s="31" t="n">
        <v>1122011</v>
      </c>
      <c r="B737" s="31" t="n">
        <v>1178</v>
      </c>
      <c r="C737" s="31" t="n">
        <v>144692</v>
      </c>
      <c r="D737" s="31" t="s">
        <v>58</v>
      </c>
      <c r="E737" s="31" t="s">
        <v>63</v>
      </c>
      <c r="F737" s="31" t="n">
        <v>64</v>
      </c>
      <c r="G737" s="31" t="n">
        <v>158298</v>
      </c>
      <c r="H737" s="31" t="n">
        <v>37</v>
      </c>
      <c r="I737" s="32" t="n">
        <v>46.43000007</v>
      </c>
      <c r="J737" s="31" t="n">
        <v>4</v>
      </c>
      <c r="K737" s="31" t="n">
        <v>1</v>
      </c>
    </row>
    <row r="738" customFormat="false" ht="15" hidden="false" customHeight="false" outlineLevel="0" collapsed="false">
      <c r="A738" s="31" t="n">
        <v>1122012</v>
      </c>
      <c r="B738" s="31" t="n">
        <v>1178</v>
      </c>
      <c r="C738" s="31" t="n">
        <v>144692</v>
      </c>
      <c r="D738" s="31" t="s">
        <v>58</v>
      </c>
      <c r="E738" s="31" t="s">
        <v>63</v>
      </c>
      <c r="F738" s="31" t="n">
        <v>64</v>
      </c>
      <c r="G738" s="31" t="n">
        <v>222739</v>
      </c>
      <c r="H738" s="31" t="n">
        <v>55</v>
      </c>
      <c r="I738" s="32" t="n">
        <v>68.55999959</v>
      </c>
      <c r="J738" s="31" t="n">
        <v>5</v>
      </c>
      <c r="K738" s="31" t="n">
        <v>2</v>
      </c>
    </row>
    <row r="739" customFormat="false" ht="15" hidden="false" customHeight="false" outlineLevel="0" collapsed="false">
      <c r="A739" s="31" t="n">
        <v>1122022</v>
      </c>
      <c r="B739" s="31" t="n">
        <v>1178</v>
      </c>
      <c r="C739" s="31" t="n">
        <v>144694</v>
      </c>
      <c r="D739" s="31" t="s">
        <v>58</v>
      </c>
      <c r="E739" s="31" t="s">
        <v>63</v>
      </c>
      <c r="F739" s="31" t="n">
        <v>2</v>
      </c>
      <c r="G739" s="31" t="n">
        <v>20780</v>
      </c>
      <c r="H739" s="31" t="n">
        <v>5</v>
      </c>
      <c r="I739" s="32" t="n">
        <v>8.189999938</v>
      </c>
      <c r="J739" s="31" t="n">
        <v>1</v>
      </c>
      <c r="K739" s="31" t="n">
        <v>0</v>
      </c>
    </row>
    <row r="740" customFormat="false" ht="15" hidden="false" customHeight="false" outlineLevel="0" collapsed="false">
      <c r="A740" s="31" t="n">
        <v>1122027</v>
      </c>
      <c r="B740" s="31" t="n">
        <v>1178</v>
      </c>
      <c r="C740" s="31" t="n">
        <v>144695</v>
      </c>
      <c r="D740" s="31" t="s">
        <v>58</v>
      </c>
      <c r="E740" s="31" t="s">
        <v>63</v>
      </c>
      <c r="F740" s="31" t="n">
        <v>7</v>
      </c>
      <c r="G740" s="31" t="n">
        <v>128616</v>
      </c>
      <c r="H740" s="31" t="n">
        <v>33</v>
      </c>
      <c r="I740" s="32" t="n">
        <v>48.54999948</v>
      </c>
      <c r="J740" s="31" t="n">
        <v>2</v>
      </c>
      <c r="K740" s="31" t="n">
        <v>0</v>
      </c>
    </row>
    <row r="741" customFormat="false" ht="15" hidden="false" customHeight="false" outlineLevel="0" collapsed="false">
      <c r="A741" s="31" t="n">
        <v>1122039</v>
      </c>
      <c r="B741" s="31" t="n">
        <v>1178</v>
      </c>
      <c r="C741" s="31" t="n">
        <v>144697</v>
      </c>
      <c r="D741" s="31" t="s">
        <v>59</v>
      </c>
      <c r="E741" s="31" t="s">
        <v>63</v>
      </c>
      <c r="F741" s="31" t="n">
        <v>10</v>
      </c>
      <c r="G741" s="31" t="n">
        <v>258954</v>
      </c>
      <c r="H741" s="31" t="n">
        <v>61</v>
      </c>
      <c r="I741" s="32" t="n">
        <v>82.27999902</v>
      </c>
      <c r="J741" s="31" t="n">
        <v>1</v>
      </c>
      <c r="K741" s="31" t="n">
        <v>0</v>
      </c>
    </row>
    <row r="742" customFormat="false" ht="15" hidden="false" customHeight="false" outlineLevel="0" collapsed="false">
      <c r="A742" s="31" t="n">
        <v>1122040</v>
      </c>
      <c r="B742" s="31" t="n">
        <v>1178</v>
      </c>
      <c r="C742" s="31" t="n">
        <v>144697</v>
      </c>
      <c r="D742" s="31" t="s">
        <v>59</v>
      </c>
      <c r="E742" s="31" t="s">
        <v>63</v>
      </c>
      <c r="F742" s="31" t="n">
        <v>10</v>
      </c>
      <c r="G742" s="31" t="n">
        <v>205289</v>
      </c>
      <c r="H742" s="31" t="n">
        <v>48</v>
      </c>
      <c r="I742" s="32" t="n">
        <v>71.53000104</v>
      </c>
      <c r="J742" s="31" t="n">
        <v>3</v>
      </c>
      <c r="K742" s="31" t="n">
        <v>0</v>
      </c>
    </row>
    <row r="743" customFormat="false" ht="15" hidden="false" customHeight="false" outlineLevel="0" collapsed="false">
      <c r="A743" s="31" t="n">
        <v>1122041</v>
      </c>
      <c r="B743" s="31" t="n">
        <v>1178</v>
      </c>
      <c r="C743" s="31" t="n">
        <v>144697</v>
      </c>
      <c r="D743" s="31" t="s">
        <v>59</v>
      </c>
      <c r="E743" s="31" t="s">
        <v>63</v>
      </c>
      <c r="F743" s="31" t="n">
        <v>10</v>
      </c>
      <c r="G743" s="31" t="n">
        <v>611601</v>
      </c>
      <c r="H743" s="31" t="n">
        <v>138</v>
      </c>
      <c r="I743" s="32" t="n">
        <v>191.419996</v>
      </c>
      <c r="J743" s="31" t="n">
        <v>8</v>
      </c>
      <c r="K743" s="31" t="n">
        <v>3</v>
      </c>
    </row>
    <row r="744" customFormat="false" ht="15" hidden="false" customHeight="false" outlineLevel="0" collapsed="false">
      <c r="A744" s="31" t="n">
        <v>1122043</v>
      </c>
      <c r="B744" s="31" t="n">
        <v>1178</v>
      </c>
      <c r="C744" s="31" t="n">
        <v>144697</v>
      </c>
      <c r="D744" s="31" t="s">
        <v>59</v>
      </c>
      <c r="E744" s="31" t="s">
        <v>63</v>
      </c>
      <c r="F744" s="31" t="n">
        <v>10</v>
      </c>
      <c r="G744" s="31" t="n">
        <v>947657</v>
      </c>
      <c r="H744" s="31" t="n">
        <v>233</v>
      </c>
      <c r="I744" s="32" t="n">
        <v>321.8700004</v>
      </c>
      <c r="J744" s="31" t="n">
        <v>8</v>
      </c>
      <c r="K744" s="31" t="n">
        <v>4</v>
      </c>
    </row>
    <row r="745" customFormat="false" ht="15" hidden="false" customHeight="false" outlineLevel="0" collapsed="false">
      <c r="A745" s="31" t="n">
        <v>1122044</v>
      </c>
      <c r="B745" s="31" t="n">
        <v>1178</v>
      </c>
      <c r="C745" s="31" t="n">
        <v>144697</v>
      </c>
      <c r="D745" s="31" t="s">
        <v>59</v>
      </c>
      <c r="E745" s="31" t="s">
        <v>63</v>
      </c>
      <c r="F745" s="31" t="n">
        <v>10</v>
      </c>
      <c r="G745" s="31" t="n">
        <v>233043</v>
      </c>
      <c r="H745" s="31" t="n">
        <v>49</v>
      </c>
      <c r="I745" s="32" t="n">
        <v>65.03000033</v>
      </c>
      <c r="J745" s="31" t="n">
        <v>2</v>
      </c>
      <c r="K745" s="31" t="n">
        <v>0</v>
      </c>
    </row>
    <row r="746" customFormat="false" ht="15" hidden="false" customHeight="false" outlineLevel="0" collapsed="false">
      <c r="A746" s="31" t="n">
        <v>1122047</v>
      </c>
      <c r="B746" s="31" t="n">
        <v>1178</v>
      </c>
      <c r="C746" s="31" t="n">
        <v>144698</v>
      </c>
      <c r="D746" s="31" t="s">
        <v>59</v>
      </c>
      <c r="E746" s="31" t="s">
        <v>63</v>
      </c>
      <c r="F746" s="31" t="n">
        <v>15</v>
      </c>
      <c r="G746" s="31" t="n">
        <v>582725</v>
      </c>
      <c r="H746" s="31" t="n">
        <v>142</v>
      </c>
      <c r="I746" s="32" t="n">
        <v>194.8099988</v>
      </c>
      <c r="J746" s="31" t="n">
        <v>9</v>
      </c>
      <c r="K746" s="31" t="n">
        <v>2</v>
      </c>
    </row>
    <row r="747" customFormat="false" ht="15" hidden="false" customHeight="false" outlineLevel="0" collapsed="false">
      <c r="A747" s="31" t="n">
        <v>1122052</v>
      </c>
      <c r="B747" s="31" t="n">
        <v>1178</v>
      </c>
      <c r="C747" s="31" t="n">
        <v>144699</v>
      </c>
      <c r="D747" s="31" t="s">
        <v>59</v>
      </c>
      <c r="E747" s="31" t="s">
        <v>63</v>
      </c>
      <c r="F747" s="31" t="n">
        <v>16</v>
      </c>
      <c r="G747" s="31" t="n">
        <v>265038</v>
      </c>
      <c r="H747" s="31" t="n">
        <v>51</v>
      </c>
      <c r="I747" s="32" t="n">
        <v>78.45999932</v>
      </c>
      <c r="J747" s="31" t="n">
        <v>2</v>
      </c>
      <c r="K747" s="31" t="n">
        <v>1</v>
      </c>
    </row>
    <row r="748" customFormat="false" ht="15" hidden="false" customHeight="false" outlineLevel="0" collapsed="false">
      <c r="A748" s="31" t="n">
        <v>1122054</v>
      </c>
      <c r="B748" s="31" t="n">
        <v>1178</v>
      </c>
      <c r="C748" s="31" t="n">
        <v>144699</v>
      </c>
      <c r="D748" s="31" t="s">
        <v>59</v>
      </c>
      <c r="E748" s="31" t="s">
        <v>63</v>
      </c>
      <c r="F748" s="31" t="n">
        <v>16</v>
      </c>
      <c r="G748" s="31" t="n">
        <v>222273</v>
      </c>
      <c r="H748" s="31" t="n">
        <v>39</v>
      </c>
      <c r="I748" s="32" t="n">
        <v>53.62999868</v>
      </c>
      <c r="J748" s="31" t="n">
        <v>6</v>
      </c>
      <c r="K748" s="31" t="n">
        <v>1</v>
      </c>
    </row>
    <row r="749" customFormat="false" ht="15" hidden="false" customHeight="false" outlineLevel="0" collapsed="false">
      <c r="A749" s="31" t="n">
        <v>1122055</v>
      </c>
      <c r="B749" s="31" t="n">
        <v>1178</v>
      </c>
      <c r="C749" s="31" t="n">
        <v>144699</v>
      </c>
      <c r="D749" s="31" t="s">
        <v>59</v>
      </c>
      <c r="E749" s="31" t="s">
        <v>63</v>
      </c>
      <c r="F749" s="31" t="n">
        <v>16</v>
      </c>
      <c r="G749" s="31" t="n">
        <v>797234</v>
      </c>
      <c r="H749" s="31" t="n">
        <v>170</v>
      </c>
      <c r="I749" s="32" t="n">
        <v>243.7699978</v>
      </c>
      <c r="J749" s="31" t="n">
        <v>4</v>
      </c>
      <c r="K749" s="31" t="n">
        <v>1</v>
      </c>
    </row>
    <row r="750" customFormat="false" ht="15" hidden="false" customHeight="false" outlineLevel="0" collapsed="false">
      <c r="A750" s="31" t="n">
        <v>1122056</v>
      </c>
      <c r="B750" s="31" t="n">
        <v>1178</v>
      </c>
      <c r="C750" s="31" t="n">
        <v>144699</v>
      </c>
      <c r="D750" s="31" t="s">
        <v>59</v>
      </c>
      <c r="E750" s="31" t="s">
        <v>63</v>
      </c>
      <c r="F750" s="31" t="n">
        <v>16</v>
      </c>
      <c r="G750" s="31" t="n">
        <v>925555</v>
      </c>
      <c r="H750" s="31" t="n">
        <v>182</v>
      </c>
      <c r="I750" s="32" t="n">
        <v>262.8899981</v>
      </c>
      <c r="J750" s="31" t="n">
        <v>4</v>
      </c>
      <c r="K750" s="31" t="n">
        <v>2</v>
      </c>
    </row>
    <row r="751" customFormat="false" ht="15" hidden="false" customHeight="false" outlineLevel="0" collapsed="false">
      <c r="A751" s="31" t="n">
        <v>1122058</v>
      </c>
      <c r="B751" s="31" t="n">
        <v>1178</v>
      </c>
      <c r="C751" s="31" t="n">
        <v>144700</v>
      </c>
      <c r="D751" s="31" t="s">
        <v>59</v>
      </c>
      <c r="E751" s="31" t="s">
        <v>63</v>
      </c>
      <c r="F751" s="31" t="n">
        <v>18</v>
      </c>
      <c r="G751" s="31" t="n">
        <v>22210</v>
      </c>
      <c r="H751" s="31" t="n">
        <v>3</v>
      </c>
      <c r="I751" s="32" t="n">
        <v>4.050000191</v>
      </c>
      <c r="J751" s="31" t="n">
        <v>1</v>
      </c>
      <c r="K751" s="31" t="n">
        <v>1</v>
      </c>
    </row>
    <row r="752" customFormat="false" ht="15" hidden="false" customHeight="false" outlineLevel="0" collapsed="false">
      <c r="A752" s="31" t="n">
        <v>1122075</v>
      </c>
      <c r="B752" s="31" t="n">
        <v>1178</v>
      </c>
      <c r="C752" s="31" t="n">
        <v>144703</v>
      </c>
      <c r="D752" s="31" t="s">
        <v>59</v>
      </c>
      <c r="E752" s="31" t="s">
        <v>63</v>
      </c>
      <c r="F752" s="31" t="n">
        <v>21</v>
      </c>
      <c r="G752" s="31" t="n">
        <v>46391</v>
      </c>
      <c r="H752" s="31" t="n">
        <v>11</v>
      </c>
      <c r="I752" s="32" t="n">
        <v>16.40999985</v>
      </c>
      <c r="J752" s="31" t="n">
        <v>3</v>
      </c>
      <c r="K752" s="31" t="n">
        <v>1</v>
      </c>
    </row>
    <row r="753" customFormat="false" ht="15" hidden="false" customHeight="false" outlineLevel="0" collapsed="false">
      <c r="A753" s="31" t="n">
        <v>1122078</v>
      </c>
      <c r="B753" s="31" t="n">
        <v>1178</v>
      </c>
      <c r="C753" s="31" t="n">
        <v>144703</v>
      </c>
      <c r="D753" s="31" t="s">
        <v>59</v>
      </c>
      <c r="E753" s="31" t="s">
        <v>63</v>
      </c>
      <c r="F753" s="31" t="n">
        <v>21</v>
      </c>
      <c r="G753" s="31" t="n">
        <v>190477</v>
      </c>
      <c r="H753" s="31" t="n">
        <v>42</v>
      </c>
      <c r="I753" s="32" t="n">
        <v>66.38999987</v>
      </c>
      <c r="J753" s="31" t="n">
        <v>1</v>
      </c>
      <c r="K753" s="31" t="n">
        <v>0</v>
      </c>
    </row>
    <row r="754" customFormat="false" ht="15" hidden="false" customHeight="false" outlineLevel="0" collapsed="false">
      <c r="A754" s="31" t="n">
        <v>1122079</v>
      </c>
      <c r="B754" s="31" t="n">
        <v>1178</v>
      </c>
      <c r="C754" s="31" t="n">
        <v>144703</v>
      </c>
      <c r="D754" s="31" t="s">
        <v>59</v>
      </c>
      <c r="E754" s="31" t="s">
        <v>63</v>
      </c>
      <c r="F754" s="31" t="n">
        <v>21</v>
      </c>
      <c r="G754" s="31" t="n">
        <v>25382</v>
      </c>
      <c r="H754" s="31" t="n">
        <v>7</v>
      </c>
      <c r="I754" s="32" t="n">
        <v>9.609999895</v>
      </c>
      <c r="J754" s="31" t="n">
        <v>1</v>
      </c>
      <c r="K754" s="31" t="n">
        <v>0</v>
      </c>
    </row>
    <row r="755" customFormat="false" ht="15" hidden="false" customHeight="false" outlineLevel="0" collapsed="false">
      <c r="A755" s="31" t="n">
        <v>1122085</v>
      </c>
      <c r="B755" s="31" t="n">
        <v>1178</v>
      </c>
      <c r="C755" s="31" t="n">
        <v>144704</v>
      </c>
      <c r="D755" s="31" t="s">
        <v>59</v>
      </c>
      <c r="E755" s="31" t="s">
        <v>63</v>
      </c>
      <c r="F755" s="31" t="n">
        <v>22</v>
      </c>
      <c r="G755" s="31" t="n">
        <v>65726</v>
      </c>
      <c r="H755" s="31" t="n">
        <v>17</v>
      </c>
      <c r="I755" s="32" t="n">
        <v>22.12000012</v>
      </c>
      <c r="J755" s="31" t="n">
        <v>2</v>
      </c>
      <c r="K755" s="31" t="n">
        <v>0</v>
      </c>
    </row>
    <row r="756" customFormat="false" ht="15" hidden="false" customHeight="false" outlineLevel="0" collapsed="false">
      <c r="A756" s="31" t="n">
        <v>1122089</v>
      </c>
      <c r="B756" s="31" t="n">
        <v>1178</v>
      </c>
      <c r="C756" s="31" t="n">
        <v>144705</v>
      </c>
      <c r="D756" s="31" t="s">
        <v>59</v>
      </c>
      <c r="E756" s="31" t="s">
        <v>63</v>
      </c>
      <c r="F756" s="31" t="n">
        <v>23</v>
      </c>
      <c r="G756" s="31" t="n">
        <v>195220</v>
      </c>
      <c r="H756" s="31" t="n">
        <v>51</v>
      </c>
      <c r="I756" s="32" t="n">
        <v>78.06000042</v>
      </c>
      <c r="J756" s="31" t="n">
        <v>1</v>
      </c>
      <c r="K756" s="31" t="n">
        <v>0</v>
      </c>
    </row>
    <row r="757" customFormat="false" ht="15" hidden="false" customHeight="false" outlineLevel="0" collapsed="false">
      <c r="A757" s="31" t="n">
        <v>1122092</v>
      </c>
      <c r="B757" s="31" t="n">
        <v>1178</v>
      </c>
      <c r="C757" s="31" t="n">
        <v>144705</v>
      </c>
      <c r="D757" s="31" t="s">
        <v>59</v>
      </c>
      <c r="E757" s="31" t="s">
        <v>63</v>
      </c>
      <c r="F757" s="31" t="n">
        <v>23</v>
      </c>
      <c r="G757" s="31" t="n">
        <v>107501</v>
      </c>
      <c r="H757" s="31" t="n">
        <v>27</v>
      </c>
      <c r="I757" s="32" t="n">
        <v>40.87999928</v>
      </c>
      <c r="J757" s="31" t="n">
        <v>2</v>
      </c>
      <c r="K757" s="31" t="n">
        <v>2</v>
      </c>
    </row>
    <row r="758" customFormat="false" ht="15" hidden="false" customHeight="false" outlineLevel="0" collapsed="false">
      <c r="A758" s="31" t="n">
        <v>1122101</v>
      </c>
      <c r="B758" s="31" t="n">
        <v>1178</v>
      </c>
      <c r="C758" s="31" t="n">
        <v>144707</v>
      </c>
      <c r="D758" s="31" t="s">
        <v>59</v>
      </c>
      <c r="E758" s="31" t="s">
        <v>63</v>
      </c>
      <c r="F758" s="31" t="n">
        <v>25</v>
      </c>
      <c r="G758" s="31" t="n">
        <v>197772</v>
      </c>
      <c r="H758" s="31" t="n">
        <v>63</v>
      </c>
      <c r="I758" s="32" t="n">
        <v>88.21000016</v>
      </c>
      <c r="J758" s="31" t="n">
        <v>7</v>
      </c>
      <c r="K758" s="31" t="n">
        <v>2</v>
      </c>
    </row>
    <row r="759" customFormat="false" ht="15" hidden="false" customHeight="false" outlineLevel="0" collapsed="false">
      <c r="A759" s="31" t="n">
        <v>1122102</v>
      </c>
      <c r="B759" s="31" t="n">
        <v>1178</v>
      </c>
      <c r="C759" s="31" t="n">
        <v>144707</v>
      </c>
      <c r="D759" s="31" t="s">
        <v>59</v>
      </c>
      <c r="E759" s="31" t="s">
        <v>63</v>
      </c>
      <c r="F759" s="31" t="n">
        <v>25</v>
      </c>
      <c r="G759" s="31" t="n">
        <v>138154</v>
      </c>
      <c r="H759" s="31" t="n">
        <v>35</v>
      </c>
      <c r="I759" s="32" t="n">
        <v>48.93999863</v>
      </c>
      <c r="J759" s="31" t="n">
        <v>1</v>
      </c>
      <c r="K759" s="31" t="n">
        <v>0</v>
      </c>
    </row>
    <row r="760" customFormat="false" ht="15" hidden="false" customHeight="false" outlineLevel="0" collapsed="false">
      <c r="A760" s="31" t="n">
        <v>1122103</v>
      </c>
      <c r="B760" s="31" t="n">
        <v>1178</v>
      </c>
      <c r="C760" s="31" t="n">
        <v>144707</v>
      </c>
      <c r="D760" s="31" t="s">
        <v>59</v>
      </c>
      <c r="E760" s="31" t="s">
        <v>63</v>
      </c>
      <c r="F760" s="31" t="n">
        <v>25</v>
      </c>
      <c r="G760" s="31" t="n">
        <v>270124</v>
      </c>
      <c r="H760" s="31" t="n">
        <v>69</v>
      </c>
      <c r="I760" s="32" t="n">
        <v>95.84999895</v>
      </c>
      <c r="J760" s="31" t="n">
        <v>2</v>
      </c>
      <c r="K760" s="31" t="n">
        <v>0</v>
      </c>
    </row>
    <row r="761" customFormat="false" ht="15" hidden="false" customHeight="false" outlineLevel="0" collapsed="false">
      <c r="A761" s="31" t="n">
        <v>1122105</v>
      </c>
      <c r="B761" s="31" t="n">
        <v>1178</v>
      </c>
      <c r="C761" s="31" t="n">
        <v>144708</v>
      </c>
      <c r="D761" s="31" t="s">
        <v>59</v>
      </c>
      <c r="E761" s="31" t="s">
        <v>63</v>
      </c>
      <c r="F761" s="31" t="n">
        <v>26</v>
      </c>
      <c r="G761" s="31" t="n">
        <v>303971</v>
      </c>
      <c r="H761" s="31" t="n">
        <v>77</v>
      </c>
      <c r="I761" s="32" t="n">
        <v>106.9299998</v>
      </c>
      <c r="J761" s="31" t="n">
        <v>11</v>
      </c>
      <c r="K761" s="31" t="n">
        <v>6</v>
      </c>
    </row>
    <row r="762" customFormat="false" ht="15" hidden="false" customHeight="false" outlineLevel="0" collapsed="false">
      <c r="A762" s="31" t="n">
        <v>1122107</v>
      </c>
      <c r="B762" s="31" t="n">
        <v>1178</v>
      </c>
      <c r="C762" s="31" t="n">
        <v>144708</v>
      </c>
      <c r="D762" s="31" t="s">
        <v>59</v>
      </c>
      <c r="E762" s="31" t="s">
        <v>63</v>
      </c>
      <c r="F762" s="31" t="n">
        <v>26</v>
      </c>
      <c r="G762" s="31" t="n">
        <v>682046</v>
      </c>
      <c r="H762" s="31" t="n">
        <v>183</v>
      </c>
      <c r="I762" s="32" t="n">
        <v>254.419997</v>
      </c>
      <c r="J762" s="31" t="n">
        <v>4</v>
      </c>
      <c r="K762" s="31" t="n">
        <v>2</v>
      </c>
    </row>
    <row r="763" customFormat="false" ht="15" hidden="false" customHeight="false" outlineLevel="0" collapsed="false">
      <c r="A763" s="31" t="n">
        <v>1122109</v>
      </c>
      <c r="B763" s="31" t="n">
        <v>1178</v>
      </c>
      <c r="C763" s="31" t="n">
        <v>144708</v>
      </c>
      <c r="D763" s="31" t="s">
        <v>59</v>
      </c>
      <c r="E763" s="31" t="s">
        <v>63</v>
      </c>
      <c r="F763" s="31" t="n">
        <v>26</v>
      </c>
      <c r="G763" s="31" t="n">
        <v>328365</v>
      </c>
      <c r="H763" s="31" t="n">
        <v>83</v>
      </c>
      <c r="I763" s="32" t="n">
        <v>117.3400005</v>
      </c>
      <c r="J763" s="31" t="n">
        <v>2</v>
      </c>
      <c r="K763" s="31" t="n">
        <v>1</v>
      </c>
    </row>
    <row r="764" customFormat="false" ht="15" hidden="false" customHeight="false" outlineLevel="0" collapsed="false">
      <c r="A764" s="31" t="n">
        <v>1122112</v>
      </c>
      <c r="B764" s="31" t="n">
        <v>1178</v>
      </c>
      <c r="C764" s="31" t="n">
        <v>144709</v>
      </c>
      <c r="D764" s="31" t="s">
        <v>59</v>
      </c>
      <c r="E764" s="31" t="s">
        <v>63</v>
      </c>
      <c r="F764" s="31" t="n">
        <v>27</v>
      </c>
      <c r="G764" s="31" t="n">
        <v>1083259</v>
      </c>
      <c r="H764" s="31" t="n">
        <v>276</v>
      </c>
      <c r="I764" s="32" t="n">
        <v>390.2599992</v>
      </c>
      <c r="J764" s="31" t="n">
        <v>11</v>
      </c>
      <c r="K764" s="31" t="n">
        <v>0</v>
      </c>
    </row>
    <row r="765" customFormat="false" ht="15" hidden="false" customHeight="false" outlineLevel="0" collapsed="false">
      <c r="A765" s="31" t="n">
        <v>1122113</v>
      </c>
      <c r="B765" s="31" t="n">
        <v>1178</v>
      </c>
      <c r="C765" s="31" t="n">
        <v>144709</v>
      </c>
      <c r="D765" s="31" t="s">
        <v>59</v>
      </c>
      <c r="E765" s="31" t="s">
        <v>63</v>
      </c>
      <c r="F765" s="31" t="n">
        <v>27</v>
      </c>
      <c r="G765" s="31" t="n">
        <v>913929</v>
      </c>
      <c r="H765" s="31" t="n">
        <v>245</v>
      </c>
      <c r="I765" s="32" t="n">
        <v>340.4099993</v>
      </c>
      <c r="J765" s="31" t="n">
        <v>7</v>
      </c>
      <c r="K765" s="31" t="n">
        <v>2</v>
      </c>
    </row>
    <row r="766" customFormat="false" ht="15" hidden="false" customHeight="false" outlineLevel="0" collapsed="false">
      <c r="A766" s="31" t="n">
        <v>1122118</v>
      </c>
      <c r="B766" s="31" t="n">
        <v>1178</v>
      </c>
      <c r="C766" s="31" t="n">
        <v>144710</v>
      </c>
      <c r="D766" s="31" t="s">
        <v>59</v>
      </c>
      <c r="E766" s="31" t="s">
        <v>63</v>
      </c>
      <c r="F766" s="31" t="n">
        <v>28</v>
      </c>
      <c r="G766" s="31" t="n">
        <v>101586</v>
      </c>
      <c r="H766" s="31" t="n">
        <v>24</v>
      </c>
      <c r="I766" s="32" t="n">
        <v>33.47000039</v>
      </c>
      <c r="J766" s="31" t="n">
        <v>2</v>
      </c>
      <c r="K766" s="31" t="n">
        <v>1</v>
      </c>
    </row>
    <row r="767" customFormat="false" ht="15" hidden="false" customHeight="false" outlineLevel="0" collapsed="false">
      <c r="A767" s="31" t="n">
        <v>1122120</v>
      </c>
      <c r="B767" s="31" t="n">
        <v>1178</v>
      </c>
      <c r="C767" s="31" t="n">
        <v>144710</v>
      </c>
      <c r="D767" s="31" t="s">
        <v>59</v>
      </c>
      <c r="E767" s="31" t="s">
        <v>63</v>
      </c>
      <c r="F767" s="31" t="n">
        <v>28</v>
      </c>
      <c r="G767" s="31" t="n">
        <v>181053</v>
      </c>
      <c r="H767" s="31" t="n">
        <v>46</v>
      </c>
      <c r="I767" s="32" t="n">
        <v>66.27999985</v>
      </c>
      <c r="J767" s="31" t="n">
        <v>3</v>
      </c>
      <c r="K767" s="31" t="n">
        <v>1</v>
      </c>
    </row>
    <row r="768" customFormat="false" ht="15" hidden="false" customHeight="false" outlineLevel="0" collapsed="false">
      <c r="A768" s="31" t="n">
        <v>1122121</v>
      </c>
      <c r="B768" s="31" t="n">
        <v>1178</v>
      </c>
      <c r="C768" s="31" t="n">
        <v>144710</v>
      </c>
      <c r="D768" s="31" t="s">
        <v>59</v>
      </c>
      <c r="E768" s="31" t="s">
        <v>63</v>
      </c>
      <c r="F768" s="31" t="n">
        <v>28</v>
      </c>
      <c r="G768" s="31" t="n">
        <v>133419</v>
      </c>
      <c r="H768" s="31" t="n">
        <v>35</v>
      </c>
      <c r="I768" s="32" t="n">
        <v>48.18000007</v>
      </c>
      <c r="J768" s="31" t="n">
        <v>2</v>
      </c>
      <c r="K768" s="31" t="n">
        <v>1</v>
      </c>
    </row>
    <row r="769" customFormat="false" ht="15" hidden="false" customHeight="false" outlineLevel="0" collapsed="false">
      <c r="A769" s="31" t="n">
        <v>1122125</v>
      </c>
      <c r="B769" s="31" t="n">
        <v>1178</v>
      </c>
      <c r="C769" s="31" t="n">
        <v>144711</v>
      </c>
      <c r="D769" s="31" t="s">
        <v>59</v>
      </c>
      <c r="E769" s="31" t="s">
        <v>63</v>
      </c>
      <c r="F769" s="31" t="n">
        <v>29</v>
      </c>
      <c r="G769" s="31" t="n">
        <v>489573</v>
      </c>
      <c r="H769" s="31" t="n">
        <v>113</v>
      </c>
      <c r="I769" s="32" t="n">
        <v>156.1199993</v>
      </c>
      <c r="J769" s="31" t="n">
        <v>3</v>
      </c>
      <c r="K769" s="31" t="n">
        <v>2</v>
      </c>
    </row>
    <row r="770" customFormat="false" ht="15" hidden="false" customHeight="false" outlineLevel="0" collapsed="false">
      <c r="A770" s="31" t="n">
        <v>1122127</v>
      </c>
      <c r="B770" s="31" t="n">
        <v>1178</v>
      </c>
      <c r="C770" s="31" t="n">
        <v>144711</v>
      </c>
      <c r="D770" s="31" t="s">
        <v>59</v>
      </c>
      <c r="E770" s="31" t="s">
        <v>63</v>
      </c>
      <c r="F770" s="31" t="n">
        <v>29</v>
      </c>
      <c r="G770" s="31" t="n">
        <v>822023</v>
      </c>
      <c r="H770" s="31" t="n">
        <v>194</v>
      </c>
      <c r="I770" s="32" t="n">
        <v>288.3300035</v>
      </c>
      <c r="J770" s="31" t="n">
        <v>6</v>
      </c>
      <c r="K770" s="31" t="n">
        <v>0</v>
      </c>
    </row>
    <row r="771" customFormat="false" ht="15" hidden="false" customHeight="false" outlineLevel="0" collapsed="false">
      <c r="A771" s="31" t="n">
        <v>1122131</v>
      </c>
      <c r="B771" s="31" t="n">
        <v>1178</v>
      </c>
      <c r="C771" s="31" t="n">
        <v>144712</v>
      </c>
      <c r="D771" s="31" t="s">
        <v>59</v>
      </c>
      <c r="E771" s="31" t="s">
        <v>63</v>
      </c>
      <c r="F771" s="31" t="n">
        <v>30</v>
      </c>
      <c r="G771" s="31" t="n">
        <v>93176</v>
      </c>
      <c r="H771" s="31" t="n">
        <v>29</v>
      </c>
      <c r="I771" s="32" t="n">
        <v>40.37000024</v>
      </c>
      <c r="J771" s="31" t="n">
        <v>1</v>
      </c>
      <c r="K771" s="31" t="n">
        <v>1</v>
      </c>
    </row>
    <row r="772" customFormat="false" ht="15" hidden="false" customHeight="false" outlineLevel="0" collapsed="false">
      <c r="A772" s="31" t="n">
        <v>1122138</v>
      </c>
      <c r="B772" s="31" t="n">
        <v>1178</v>
      </c>
      <c r="C772" s="31" t="n">
        <v>144713</v>
      </c>
      <c r="D772" s="31" t="s">
        <v>59</v>
      </c>
      <c r="E772" s="31" t="s">
        <v>63</v>
      </c>
      <c r="F772" s="31" t="n">
        <v>31</v>
      </c>
      <c r="G772" s="31" t="n">
        <v>47229</v>
      </c>
      <c r="H772" s="31" t="n">
        <v>13</v>
      </c>
      <c r="I772" s="32" t="n">
        <v>19.27999985</v>
      </c>
      <c r="J772" s="31" t="n">
        <v>1</v>
      </c>
      <c r="K772" s="31" t="n">
        <v>0</v>
      </c>
    </row>
    <row r="773" customFormat="false" ht="15" hidden="false" customHeight="false" outlineLevel="0" collapsed="false">
      <c r="A773" s="31" t="n">
        <v>1122139</v>
      </c>
      <c r="B773" s="31" t="n">
        <v>1178</v>
      </c>
      <c r="C773" s="31" t="n">
        <v>144713</v>
      </c>
      <c r="D773" s="31" t="s">
        <v>59</v>
      </c>
      <c r="E773" s="31" t="s">
        <v>63</v>
      </c>
      <c r="F773" s="31" t="n">
        <v>31</v>
      </c>
      <c r="G773" s="31" t="n">
        <v>92263</v>
      </c>
      <c r="H773" s="31" t="n">
        <v>24</v>
      </c>
      <c r="I773" s="32" t="n">
        <v>34.03000015</v>
      </c>
      <c r="J773" s="31" t="n">
        <v>1</v>
      </c>
      <c r="K773" s="31" t="n">
        <v>0</v>
      </c>
    </row>
    <row r="774" customFormat="false" ht="15" hidden="false" customHeight="false" outlineLevel="0" collapsed="false">
      <c r="A774" s="31" t="n">
        <v>1122140</v>
      </c>
      <c r="B774" s="31" t="n">
        <v>1178</v>
      </c>
      <c r="C774" s="31" t="n">
        <v>144713</v>
      </c>
      <c r="D774" s="31" t="s">
        <v>59</v>
      </c>
      <c r="E774" s="31" t="s">
        <v>63</v>
      </c>
      <c r="F774" s="31" t="n">
        <v>31</v>
      </c>
      <c r="G774" s="31" t="n">
        <v>81551</v>
      </c>
      <c r="H774" s="31" t="n">
        <v>21</v>
      </c>
      <c r="I774" s="32" t="n">
        <v>29.67000008</v>
      </c>
      <c r="J774" s="31" t="n">
        <v>1</v>
      </c>
      <c r="K774" s="31" t="n">
        <v>0</v>
      </c>
    </row>
    <row r="775" customFormat="false" ht="15" hidden="false" customHeight="false" outlineLevel="0" collapsed="false">
      <c r="A775" s="31" t="n">
        <v>1122145</v>
      </c>
      <c r="B775" s="31" t="n">
        <v>1178</v>
      </c>
      <c r="C775" s="31" t="n">
        <v>144714</v>
      </c>
      <c r="D775" s="31" t="s">
        <v>59</v>
      </c>
      <c r="E775" s="31" t="s">
        <v>63</v>
      </c>
      <c r="F775" s="31" t="n">
        <v>32</v>
      </c>
      <c r="G775" s="31" t="n">
        <v>141037</v>
      </c>
      <c r="H775" s="31" t="n">
        <v>32</v>
      </c>
      <c r="I775" s="32" t="n">
        <v>47.78999913</v>
      </c>
      <c r="J775" s="31" t="n">
        <v>3</v>
      </c>
      <c r="K775" s="31" t="n">
        <v>0</v>
      </c>
    </row>
    <row r="776" customFormat="false" ht="15" hidden="false" customHeight="false" outlineLevel="0" collapsed="false">
      <c r="A776" s="31" t="n">
        <v>1122146</v>
      </c>
      <c r="B776" s="31" t="n">
        <v>1178</v>
      </c>
      <c r="C776" s="31" t="n">
        <v>144714</v>
      </c>
      <c r="D776" s="31" t="s">
        <v>59</v>
      </c>
      <c r="E776" s="31" t="s">
        <v>63</v>
      </c>
      <c r="F776" s="31" t="n">
        <v>32</v>
      </c>
      <c r="G776" s="31" t="n">
        <v>319501</v>
      </c>
      <c r="H776" s="31" t="n">
        <v>79</v>
      </c>
      <c r="I776" s="32" t="n">
        <v>111.6500003</v>
      </c>
      <c r="J776" s="31" t="n">
        <v>0</v>
      </c>
      <c r="K776" s="31" t="n">
        <v>0</v>
      </c>
    </row>
    <row r="777" customFormat="false" ht="15" hidden="false" customHeight="false" outlineLevel="0" collapsed="false">
      <c r="A777" s="31" t="n">
        <v>1122149</v>
      </c>
      <c r="B777" s="31" t="n">
        <v>1178</v>
      </c>
      <c r="C777" s="31" t="n">
        <v>144715</v>
      </c>
      <c r="D777" s="31" t="s">
        <v>59</v>
      </c>
      <c r="E777" s="31" t="s">
        <v>63</v>
      </c>
      <c r="F777" s="31" t="n">
        <v>36</v>
      </c>
      <c r="G777" s="31" t="n">
        <v>72741</v>
      </c>
      <c r="H777" s="31" t="n">
        <v>19</v>
      </c>
      <c r="I777" s="32" t="n">
        <v>24.33000016</v>
      </c>
      <c r="J777" s="31" t="n">
        <v>2</v>
      </c>
      <c r="K777" s="31" t="n">
        <v>0</v>
      </c>
    </row>
    <row r="778" customFormat="false" ht="15" hidden="false" customHeight="false" outlineLevel="0" collapsed="false">
      <c r="A778" s="31" t="n">
        <v>1122154</v>
      </c>
      <c r="B778" s="31" t="n">
        <v>1178</v>
      </c>
      <c r="C778" s="31" t="n">
        <v>144716</v>
      </c>
      <c r="D778" s="31" t="s">
        <v>59</v>
      </c>
      <c r="E778" s="31" t="s">
        <v>63</v>
      </c>
      <c r="F778" s="31" t="n">
        <v>63</v>
      </c>
      <c r="G778" s="31" t="n">
        <v>597419</v>
      </c>
      <c r="H778" s="31" t="n">
        <v>135</v>
      </c>
      <c r="I778" s="32" t="n">
        <v>188.5100002</v>
      </c>
      <c r="J778" s="31" t="n">
        <v>2</v>
      </c>
      <c r="K778" s="31" t="n">
        <v>1</v>
      </c>
    </row>
    <row r="779" customFormat="false" ht="15" hidden="false" customHeight="false" outlineLevel="0" collapsed="false">
      <c r="A779" s="31" t="n">
        <v>1122157</v>
      </c>
      <c r="B779" s="31" t="n">
        <v>1178</v>
      </c>
      <c r="C779" s="31" t="n">
        <v>144716</v>
      </c>
      <c r="D779" s="31" t="s">
        <v>59</v>
      </c>
      <c r="E779" s="31" t="s">
        <v>63</v>
      </c>
      <c r="F779" s="31" t="n">
        <v>63</v>
      </c>
      <c r="G779" s="31" t="n">
        <v>98768</v>
      </c>
      <c r="H779" s="31" t="n">
        <v>21</v>
      </c>
      <c r="I779" s="32" t="n">
        <v>33.14000034</v>
      </c>
      <c r="J779" s="31" t="n">
        <v>1</v>
      </c>
      <c r="K779" s="31" t="n">
        <v>1</v>
      </c>
    </row>
    <row r="780" customFormat="false" ht="15" hidden="false" customHeight="false" outlineLevel="0" collapsed="false">
      <c r="A780" s="31" t="n">
        <v>1122160</v>
      </c>
      <c r="B780" s="31" t="n">
        <v>1178</v>
      </c>
      <c r="C780" s="31" t="n">
        <v>144717</v>
      </c>
      <c r="D780" s="31" t="s">
        <v>59</v>
      </c>
      <c r="E780" s="31" t="s">
        <v>63</v>
      </c>
      <c r="F780" s="31" t="n">
        <v>64</v>
      </c>
      <c r="G780" s="31" t="n">
        <v>173165</v>
      </c>
      <c r="H780" s="31" t="n">
        <v>41</v>
      </c>
      <c r="I780" s="32" t="n">
        <v>59.85000026</v>
      </c>
      <c r="J780" s="31" t="n">
        <v>1</v>
      </c>
      <c r="K780" s="31" t="n">
        <v>0</v>
      </c>
    </row>
    <row r="781" customFormat="false" ht="15" hidden="false" customHeight="false" outlineLevel="0" collapsed="false">
      <c r="A781" s="31" t="n">
        <v>1122165</v>
      </c>
      <c r="B781" s="31" t="n">
        <v>1178</v>
      </c>
      <c r="C781" s="31" t="n">
        <v>144718</v>
      </c>
      <c r="D781" s="31" t="s">
        <v>59</v>
      </c>
      <c r="E781" s="31" t="s">
        <v>63</v>
      </c>
      <c r="F781" s="31" t="n">
        <v>65</v>
      </c>
      <c r="G781" s="31" t="n">
        <v>55823</v>
      </c>
      <c r="H781" s="31" t="n">
        <v>13</v>
      </c>
      <c r="I781" s="32" t="n">
        <v>21.10999966</v>
      </c>
      <c r="J781" s="31" t="n">
        <v>1</v>
      </c>
      <c r="K781" s="31" t="n">
        <v>1</v>
      </c>
    </row>
    <row r="782" customFormat="false" ht="15" hidden="false" customHeight="false" outlineLevel="0" collapsed="false">
      <c r="A782" s="31" t="n">
        <v>1122166</v>
      </c>
      <c r="B782" s="31" t="n">
        <v>1178</v>
      </c>
      <c r="C782" s="31" t="n">
        <v>144718</v>
      </c>
      <c r="D782" s="31" t="s">
        <v>59</v>
      </c>
      <c r="E782" s="31" t="s">
        <v>63</v>
      </c>
      <c r="F782" s="31" t="n">
        <v>65</v>
      </c>
      <c r="G782" s="31" t="n">
        <v>118451</v>
      </c>
      <c r="H782" s="31" t="n">
        <v>28</v>
      </c>
      <c r="I782" s="32" t="n">
        <v>38.35000062</v>
      </c>
      <c r="J782" s="31" t="n">
        <v>4</v>
      </c>
      <c r="K782" s="31" t="n">
        <v>1</v>
      </c>
    </row>
    <row r="783" customFormat="false" ht="15" hidden="false" customHeight="false" outlineLevel="0" collapsed="false">
      <c r="A783" s="31" t="n">
        <v>1122176</v>
      </c>
      <c r="B783" s="31" t="n">
        <v>1178</v>
      </c>
      <c r="C783" s="31" t="n">
        <v>144719</v>
      </c>
      <c r="D783" s="31" t="s">
        <v>59</v>
      </c>
      <c r="E783" s="31" t="s">
        <v>63</v>
      </c>
      <c r="F783" s="31" t="n">
        <v>2</v>
      </c>
      <c r="G783" s="31" t="n">
        <v>74424</v>
      </c>
      <c r="H783" s="31" t="n">
        <v>22</v>
      </c>
      <c r="I783" s="32" t="n">
        <v>30.84000027</v>
      </c>
      <c r="J783" s="31" t="n">
        <v>1</v>
      </c>
      <c r="K783" s="31" t="n">
        <v>1</v>
      </c>
    </row>
    <row r="784" customFormat="false" ht="15" hidden="false" customHeight="false" outlineLevel="0" collapsed="false">
      <c r="A784" s="31" t="n">
        <v>1122177</v>
      </c>
      <c r="B784" s="31" t="n">
        <v>1178</v>
      </c>
      <c r="C784" s="31" t="n">
        <v>144720</v>
      </c>
      <c r="D784" s="31" t="s">
        <v>59</v>
      </c>
      <c r="E784" s="31" t="s">
        <v>63</v>
      </c>
      <c r="F784" s="31" t="n">
        <v>7</v>
      </c>
      <c r="G784" s="31" t="n">
        <v>47929</v>
      </c>
      <c r="H784" s="31" t="n">
        <v>12</v>
      </c>
      <c r="I784" s="32" t="n">
        <v>14.58999991</v>
      </c>
      <c r="J784" s="31" t="n">
        <v>1</v>
      </c>
      <c r="K784" s="31" t="n">
        <v>1</v>
      </c>
    </row>
    <row r="785" customFormat="false" ht="15" hidden="false" customHeight="false" outlineLevel="0" collapsed="false">
      <c r="A785" s="31" t="n">
        <v>1122182</v>
      </c>
      <c r="B785" s="31" t="n">
        <v>1178</v>
      </c>
      <c r="C785" s="31" t="n">
        <v>144720</v>
      </c>
      <c r="D785" s="31" t="s">
        <v>59</v>
      </c>
      <c r="E785" s="31" t="s">
        <v>63</v>
      </c>
      <c r="F785" s="31" t="n">
        <v>7</v>
      </c>
      <c r="G785" s="31" t="n">
        <v>40801</v>
      </c>
      <c r="H785" s="31" t="n">
        <v>12</v>
      </c>
      <c r="I785" s="32" t="n">
        <v>15.91999972</v>
      </c>
      <c r="J785" s="31" t="n">
        <v>0</v>
      </c>
      <c r="K785" s="31" t="n">
        <v>0</v>
      </c>
    </row>
    <row r="786" customFormat="false" ht="15" hidden="false" customHeight="false" outlineLevel="0" collapsed="false">
      <c r="A786" s="31" t="n">
        <v>1122183</v>
      </c>
      <c r="B786" s="31" t="n">
        <v>1178</v>
      </c>
      <c r="C786" s="31" t="n">
        <v>144721</v>
      </c>
      <c r="D786" s="31" t="s">
        <v>59</v>
      </c>
      <c r="E786" s="31" t="s">
        <v>63</v>
      </c>
      <c r="F786" s="31" t="n">
        <v>66</v>
      </c>
      <c r="G786" s="31" t="n">
        <v>66017</v>
      </c>
      <c r="H786" s="31" t="n">
        <v>17</v>
      </c>
      <c r="I786" s="32" t="n">
        <v>24.22000015</v>
      </c>
      <c r="J786" s="31" t="n">
        <v>1</v>
      </c>
      <c r="K786" s="31" t="n">
        <v>0</v>
      </c>
    </row>
    <row r="787" customFormat="false" ht="15" hidden="false" customHeight="false" outlineLevel="0" collapsed="false">
      <c r="A787" s="31" t="n">
        <v>1122189</v>
      </c>
      <c r="B787" s="31" t="n">
        <v>1178</v>
      </c>
      <c r="C787" s="31" t="n">
        <v>144722</v>
      </c>
      <c r="D787" s="31" t="s">
        <v>60</v>
      </c>
      <c r="E787" s="31" t="s">
        <v>63</v>
      </c>
      <c r="F787" s="31" t="n">
        <v>10</v>
      </c>
      <c r="G787" s="31" t="n">
        <v>725043</v>
      </c>
      <c r="H787" s="31" t="n">
        <v>179</v>
      </c>
      <c r="I787" s="32" t="n">
        <v>238.4000007</v>
      </c>
      <c r="J787" s="31" t="n">
        <v>5</v>
      </c>
      <c r="K787" s="31" t="n">
        <v>3</v>
      </c>
    </row>
    <row r="788" customFormat="false" ht="15" hidden="false" customHeight="false" outlineLevel="0" collapsed="false">
      <c r="A788" s="31" t="n">
        <v>1122191</v>
      </c>
      <c r="B788" s="31" t="n">
        <v>1178</v>
      </c>
      <c r="C788" s="31" t="n">
        <v>144722</v>
      </c>
      <c r="D788" s="31" t="s">
        <v>60</v>
      </c>
      <c r="E788" s="31" t="s">
        <v>63</v>
      </c>
      <c r="F788" s="31" t="n">
        <v>10</v>
      </c>
      <c r="G788" s="31" t="n">
        <v>382776</v>
      </c>
      <c r="H788" s="31" t="n">
        <v>97</v>
      </c>
      <c r="I788" s="32" t="n">
        <v>132.7300007</v>
      </c>
      <c r="J788" s="31" t="n">
        <v>5</v>
      </c>
      <c r="K788" s="31" t="n">
        <v>1</v>
      </c>
    </row>
    <row r="789" customFormat="false" ht="15" hidden="false" customHeight="false" outlineLevel="0" collapsed="false">
      <c r="A789" s="31" t="n">
        <v>1122192</v>
      </c>
      <c r="B789" s="31" t="n">
        <v>1178</v>
      </c>
      <c r="C789" s="31" t="n">
        <v>144722</v>
      </c>
      <c r="D789" s="31" t="s">
        <v>60</v>
      </c>
      <c r="E789" s="31" t="s">
        <v>63</v>
      </c>
      <c r="F789" s="31" t="n">
        <v>10</v>
      </c>
      <c r="G789" s="31" t="n">
        <v>548250</v>
      </c>
      <c r="H789" s="31" t="n">
        <v>137</v>
      </c>
      <c r="I789" s="32" t="n">
        <v>201.6000042</v>
      </c>
      <c r="J789" s="31" t="n">
        <v>5</v>
      </c>
      <c r="K789" s="31" t="n">
        <v>1</v>
      </c>
    </row>
    <row r="790" customFormat="false" ht="15" hidden="false" customHeight="false" outlineLevel="0" collapsed="false">
      <c r="A790" s="31" t="n">
        <v>1122193</v>
      </c>
      <c r="B790" s="31" t="n">
        <v>1178</v>
      </c>
      <c r="C790" s="31" t="n">
        <v>144722</v>
      </c>
      <c r="D790" s="31" t="s">
        <v>60</v>
      </c>
      <c r="E790" s="31" t="s">
        <v>63</v>
      </c>
      <c r="F790" s="31" t="n">
        <v>10</v>
      </c>
      <c r="G790" s="31" t="n">
        <v>1358324</v>
      </c>
      <c r="H790" s="31" t="n">
        <v>346</v>
      </c>
      <c r="I790" s="32" t="n">
        <v>465.0799981</v>
      </c>
      <c r="J790" s="31" t="n">
        <v>8</v>
      </c>
      <c r="K790" s="31" t="n">
        <v>2</v>
      </c>
    </row>
    <row r="791" customFormat="false" ht="15" hidden="false" customHeight="false" outlineLevel="0" collapsed="false">
      <c r="A791" s="31" t="n">
        <v>1122197</v>
      </c>
      <c r="B791" s="31" t="n">
        <v>1178</v>
      </c>
      <c r="C791" s="31" t="n">
        <v>144723</v>
      </c>
      <c r="D791" s="31" t="s">
        <v>60</v>
      </c>
      <c r="E791" s="31" t="s">
        <v>63</v>
      </c>
      <c r="F791" s="31" t="n">
        <v>15</v>
      </c>
      <c r="G791" s="31" t="n">
        <v>662249</v>
      </c>
      <c r="H791" s="31" t="n">
        <v>163</v>
      </c>
      <c r="I791" s="32" t="n">
        <v>234.9399992</v>
      </c>
      <c r="J791" s="31" t="n">
        <v>2</v>
      </c>
      <c r="K791" s="31" t="n">
        <v>0</v>
      </c>
    </row>
    <row r="792" customFormat="false" ht="15" hidden="false" customHeight="false" outlineLevel="0" collapsed="false">
      <c r="A792" s="31" t="n">
        <v>1122200</v>
      </c>
      <c r="B792" s="31" t="n">
        <v>1178</v>
      </c>
      <c r="C792" s="31" t="n">
        <v>144723</v>
      </c>
      <c r="D792" s="31" t="s">
        <v>60</v>
      </c>
      <c r="E792" s="31" t="s">
        <v>63</v>
      </c>
      <c r="F792" s="31" t="n">
        <v>15</v>
      </c>
      <c r="G792" s="31" t="n">
        <v>559554</v>
      </c>
      <c r="H792" s="31" t="n">
        <v>139</v>
      </c>
      <c r="I792" s="32" t="n">
        <v>195.0799994</v>
      </c>
      <c r="J792" s="31" t="n">
        <v>2</v>
      </c>
      <c r="K792" s="31" t="n">
        <v>0</v>
      </c>
    </row>
    <row r="793" customFormat="false" ht="15" hidden="false" customHeight="false" outlineLevel="0" collapsed="false">
      <c r="A793" s="31" t="n">
        <v>1122201</v>
      </c>
      <c r="B793" s="31" t="n">
        <v>1178</v>
      </c>
      <c r="C793" s="31" t="n">
        <v>144724</v>
      </c>
      <c r="D793" s="31" t="s">
        <v>60</v>
      </c>
      <c r="E793" s="31" t="s">
        <v>63</v>
      </c>
      <c r="F793" s="31" t="n">
        <v>16</v>
      </c>
      <c r="G793" s="31" t="n">
        <v>320757</v>
      </c>
      <c r="H793" s="31" t="n">
        <v>68</v>
      </c>
      <c r="I793" s="32" t="n">
        <v>104.6899989</v>
      </c>
      <c r="J793" s="31" t="n">
        <v>2</v>
      </c>
      <c r="K793" s="31" t="n">
        <v>0</v>
      </c>
    </row>
    <row r="794" customFormat="false" ht="15" hidden="false" customHeight="false" outlineLevel="0" collapsed="false">
      <c r="A794" s="31" t="n">
        <v>1122202</v>
      </c>
      <c r="B794" s="31" t="n">
        <v>1178</v>
      </c>
      <c r="C794" s="31" t="n">
        <v>144724</v>
      </c>
      <c r="D794" s="31" t="s">
        <v>60</v>
      </c>
      <c r="E794" s="31" t="s">
        <v>63</v>
      </c>
      <c r="F794" s="31" t="n">
        <v>16</v>
      </c>
      <c r="G794" s="31" t="n">
        <v>906151</v>
      </c>
      <c r="H794" s="31" t="n">
        <v>202</v>
      </c>
      <c r="I794" s="32" t="n">
        <v>295.5499957</v>
      </c>
      <c r="J794" s="31" t="n">
        <v>1</v>
      </c>
      <c r="K794" s="31" t="n">
        <v>0</v>
      </c>
    </row>
    <row r="795" customFormat="false" ht="15" hidden="false" customHeight="false" outlineLevel="0" collapsed="false">
      <c r="A795" s="31" t="n">
        <v>1122203</v>
      </c>
      <c r="B795" s="31" t="n">
        <v>1178</v>
      </c>
      <c r="C795" s="31" t="n">
        <v>144724</v>
      </c>
      <c r="D795" s="31" t="s">
        <v>60</v>
      </c>
      <c r="E795" s="31" t="s">
        <v>63</v>
      </c>
      <c r="F795" s="31" t="n">
        <v>16</v>
      </c>
      <c r="G795" s="31" t="n">
        <v>699314</v>
      </c>
      <c r="H795" s="31" t="n">
        <v>164</v>
      </c>
      <c r="I795" s="32" t="n">
        <v>226.0300014</v>
      </c>
      <c r="J795" s="31" t="n">
        <v>3</v>
      </c>
      <c r="K795" s="31" t="n">
        <v>0</v>
      </c>
    </row>
    <row r="796" customFormat="false" ht="15" hidden="false" customHeight="false" outlineLevel="0" collapsed="false">
      <c r="A796" s="31" t="n">
        <v>1122204</v>
      </c>
      <c r="B796" s="31" t="n">
        <v>1178</v>
      </c>
      <c r="C796" s="31" t="n">
        <v>144724</v>
      </c>
      <c r="D796" s="31" t="s">
        <v>60</v>
      </c>
      <c r="E796" s="31" t="s">
        <v>63</v>
      </c>
      <c r="F796" s="31" t="n">
        <v>16</v>
      </c>
      <c r="G796" s="31" t="n">
        <v>850337</v>
      </c>
      <c r="H796" s="31" t="n">
        <v>198</v>
      </c>
      <c r="I796" s="32" t="n">
        <v>287.690003</v>
      </c>
      <c r="J796" s="31" t="n">
        <v>3</v>
      </c>
      <c r="K796" s="31" t="n">
        <v>1</v>
      </c>
    </row>
    <row r="797" customFormat="false" ht="15" hidden="false" customHeight="false" outlineLevel="0" collapsed="false">
      <c r="A797" s="31" t="n">
        <v>1122205</v>
      </c>
      <c r="B797" s="31" t="n">
        <v>1178</v>
      </c>
      <c r="C797" s="31" t="n">
        <v>144724</v>
      </c>
      <c r="D797" s="31" t="s">
        <v>60</v>
      </c>
      <c r="E797" s="31" t="s">
        <v>63</v>
      </c>
      <c r="F797" s="31" t="n">
        <v>16</v>
      </c>
      <c r="G797" s="31" t="n">
        <v>1015460</v>
      </c>
      <c r="H797" s="31" t="n">
        <v>247</v>
      </c>
      <c r="I797" s="32" t="n">
        <v>315.9000051</v>
      </c>
      <c r="J797" s="31" t="n">
        <v>9</v>
      </c>
      <c r="K797" s="31" t="n">
        <v>2</v>
      </c>
    </row>
    <row r="798" customFormat="false" ht="15" hidden="false" customHeight="false" outlineLevel="0" collapsed="false">
      <c r="A798" s="31" t="n">
        <v>1122209</v>
      </c>
      <c r="B798" s="31" t="n">
        <v>1178</v>
      </c>
      <c r="C798" s="31" t="n">
        <v>144725</v>
      </c>
      <c r="D798" s="31" t="s">
        <v>60</v>
      </c>
      <c r="E798" s="31" t="s">
        <v>63</v>
      </c>
      <c r="F798" s="31" t="n">
        <v>18</v>
      </c>
      <c r="G798" s="31" t="n">
        <v>890295</v>
      </c>
      <c r="H798" s="31" t="n">
        <v>227</v>
      </c>
      <c r="I798" s="32" t="n">
        <v>332.9899989</v>
      </c>
      <c r="J798" s="31" t="n">
        <v>1</v>
      </c>
      <c r="K798" s="31" t="n">
        <v>0</v>
      </c>
    </row>
    <row r="799" customFormat="false" ht="15" hidden="false" customHeight="false" outlineLevel="0" collapsed="false">
      <c r="A799" s="31" t="n">
        <v>1122210</v>
      </c>
      <c r="B799" s="31" t="n">
        <v>1178</v>
      </c>
      <c r="C799" s="31" t="n">
        <v>144725</v>
      </c>
      <c r="D799" s="31" t="s">
        <v>60</v>
      </c>
      <c r="E799" s="31" t="s">
        <v>63</v>
      </c>
      <c r="F799" s="31" t="n">
        <v>18</v>
      </c>
      <c r="G799" s="31" t="n">
        <v>791817</v>
      </c>
      <c r="H799" s="31" t="n">
        <v>194</v>
      </c>
      <c r="I799" s="32" t="n">
        <v>282.490001</v>
      </c>
      <c r="J799" s="31" t="n">
        <v>4</v>
      </c>
      <c r="K799" s="31" t="n">
        <v>2</v>
      </c>
    </row>
    <row r="800" customFormat="false" ht="15" hidden="false" customHeight="false" outlineLevel="0" collapsed="false">
      <c r="A800" s="31" t="n">
        <v>1122211</v>
      </c>
      <c r="B800" s="31" t="n">
        <v>1178</v>
      </c>
      <c r="C800" s="31" t="n">
        <v>144725</v>
      </c>
      <c r="D800" s="31" t="s">
        <v>60</v>
      </c>
      <c r="E800" s="31" t="s">
        <v>63</v>
      </c>
      <c r="F800" s="31" t="n">
        <v>18</v>
      </c>
      <c r="G800" s="31" t="n">
        <v>317601</v>
      </c>
      <c r="H800" s="31" t="n">
        <v>76</v>
      </c>
      <c r="I800" s="32" t="n">
        <v>115.6600008</v>
      </c>
      <c r="J800" s="31" t="n">
        <v>1</v>
      </c>
      <c r="K800" s="31" t="n">
        <v>0</v>
      </c>
    </row>
    <row r="801" customFormat="false" ht="15" hidden="false" customHeight="false" outlineLevel="0" collapsed="false">
      <c r="A801" s="31" t="n">
        <v>1122212</v>
      </c>
      <c r="B801" s="31" t="n">
        <v>1178</v>
      </c>
      <c r="C801" s="31" t="n">
        <v>144725</v>
      </c>
      <c r="D801" s="31" t="s">
        <v>60</v>
      </c>
      <c r="E801" s="31" t="s">
        <v>63</v>
      </c>
      <c r="F801" s="31" t="n">
        <v>18</v>
      </c>
      <c r="G801" s="31" t="n">
        <v>685211</v>
      </c>
      <c r="H801" s="31" t="n">
        <v>164</v>
      </c>
      <c r="I801" s="32" t="n">
        <v>247.3200026</v>
      </c>
      <c r="J801" s="31" t="n">
        <v>4</v>
      </c>
      <c r="K801" s="31" t="n">
        <v>3</v>
      </c>
    </row>
    <row r="802" customFormat="false" ht="15" hidden="false" customHeight="false" outlineLevel="0" collapsed="false">
      <c r="A802" s="31" t="n">
        <v>1122213</v>
      </c>
      <c r="B802" s="31" t="n">
        <v>1178</v>
      </c>
      <c r="C802" s="31" t="n">
        <v>144726</v>
      </c>
      <c r="D802" s="31" t="s">
        <v>60</v>
      </c>
      <c r="E802" s="31" t="s">
        <v>63</v>
      </c>
      <c r="F802" s="31" t="n">
        <v>19</v>
      </c>
      <c r="G802" s="31" t="n">
        <v>32781</v>
      </c>
      <c r="H802" s="31" t="n">
        <v>7</v>
      </c>
      <c r="I802" s="32" t="n">
        <v>11.20000017</v>
      </c>
      <c r="J802" s="31" t="n">
        <v>2</v>
      </c>
      <c r="K802" s="31" t="n">
        <v>2</v>
      </c>
    </row>
    <row r="803" customFormat="false" ht="15" hidden="false" customHeight="false" outlineLevel="0" collapsed="false">
      <c r="A803" s="31" t="n">
        <v>1122216</v>
      </c>
      <c r="B803" s="31" t="n">
        <v>1178</v>
      </c>
      <c r="C803" s="31" t="n">
        <v>144726</v>
      </c>
      <c r="D803" s="31" t="s">
        <v>60</v>
      </c>
      <c r="E803" s="31" t="s">
        <v>63</v>
      </c>
      <c r="F803" s="31" t="n">
        <v>19</v>
      </c>
      <c r="G803" s="31" t="n">
        <v>76785</v>
      </c>
      <c r="H803" s="31" t="n">
        <v>19</v>
      </c>
      <c r="I803" s="32" t="n">
        <v>25.45999998</v>
      </c>
      <c r="J803" s="31" t="n">
        <v>3</v>
      </c>
      <c r="K803" s="31" t="n">
        <v>0</v>
      </c>
    </row>
    <row r="804" customFormat="false" ht="15" hidden="false" customHeight="false" outlineLevel="0" collapsed="false">
      <c r="A804" s="31" t="n">
        <v>1122217</v>
      </c>
      <c r="B804" s="31" t="n">
        <v>1178</v>
      </c>
      <c r="C804" s="31" t="n">
        <v>144726</v>
      </c>
      <c r="D804" s="31" t="s">
        <v>60</v>
      </c>
      <c r="E804" s="31" t="s">
        <v>63</v>
      </c>
      <c r="F804" s="31" t="n">
        <v>19</v>
      </c>
      <c r="G804" s="31" t="n">
        <v>719083</v>
      </c>
      <c r="H804" s="31" t="n">
        <v>206</v>
      </c>
      <c r="I804" s="32" t="n">
        <v>299.5299983</v>
      </c>
      <c r="J804" s="31" t="n">
        <v>12</v>
      </c>
      <c r="K804" s="31" t="n">
        <v>5</v>
      </c>
    </row>
    <row r="805" customFormat="false" ht="15" hidden="false" customHeight="false" outlineLevel="0" collapsed="false">
      <c r="A805" s="31" t="n">
        <v>1122223</v>
      </c>
      <c r="B805" s="31" t="n">
        <v>1178</v>
      </c>
      <c r="C805" s="31" t="n">
        <v>144727</v>
      </c>
      <c r="D805" s="31" t="s">
        <v>60</v>
      </c>
      <c r="E805" s="31" t="s">
        <v>63</v>
      </c>
      <c r="F805" s="31" t="n">
        <v>20</v>
      </c>
      <c r="G805" s="31" t="n">
        <v>368480</v>
      </c>
      <c r="H805" s="31" t="n">
        <v>107</v>
      </c>
      <c r="I805" s="32" t="n">
        <v>140.4200011</v>
      </c>
      <c r="J805" s="31" t="n">
        <v>5</v>
      </c>
      <c r="K805" s="31" t="n">
        <v>4</v>
      </c>
    </row>
    <row r="806" customFormat="false" ht="15" hidden="false" customHeight="false" outlineLevel="0" collapsed="false">
      <c r="A806" s="31" t="n">
        <v>1122224</v>
      </c>
      <c r="B806" s="31" t="n">
        <v>1178</v>
      </c>
      <c r="C806" s="31" t="n">
        <v>144727</v>
      </c>
      <c r="D806" s="31" t="s">
        <v>60</v>
      </c>
      <c r="E806" s="31" t="s">
        <v>63</v>
      </c>
      <c r="F806" s="31" t="n">
        <v>20</v>
      </c>
      <c r="G806" s="31" t="n">
        <v>260945</v>
      </c>
      <c r="H806" s="31" t="n">
        <v>73</v>
      </c>
      <c r="I806" s="32" t="n">
        <v>100.8800011</v>
      </c>
      <c r="J806" s="31" t="n">
        <v>2</v>
      </c>
      <c r="K806" s="31" t="n">
        <v>2</v>
      </c>
    </row>
    <row r="807" customFormat="false" ht="15" hidden="false" customHeight="false" outlineLevel="0" collapsed="false">
      <c r="A807" s="31" t="n">
        <v>1122225</v>
      </c>
      <c r="B807" s="31" t="n">
        <v>1178</v>
      </c>
      <c r="C807" s="31" t="n">
        <v>144728</v>
      </c>
      <c r="D807" s="31" t="s">
        <v>60</v>
      </c>
      <c r="E807" s="31" t="s">
        <v>63</v>
      </c>
      <c r="F807" s="31" t="n">
        <v>21</v>
      </c>
      <c r="G807" s="31" t="n">
        <v>40998</v>
      </c>
      <c r="H807" s="31" t="n">
        <v>10</v>
      </c>
      <c r="I807" s="32" t="n">
        <v>13.35000038</v>
      </c>
      <c r="J807" s="31" t="n">
        <v>1</v>
      </c>
      <c r="K807" s="31" t="n">
        <v>0</v>
      </c>
    </row>
    <row r="808" customFormat="false" ht="15" hidden="false" customHeight="false" outlineLevel="0" collapsed="false">
      <c r="A808" s="31" t="n">
        <v>1122227</v>
      </c>
      <c r="B808" s="31" t="n">
        <v>1178</v>
      </c>
      <c r="C808" s="31" t="n">
        <v>144728</v>
      </c>
      <c r="D808" s="31" t="s">
        <v>60</v>
      </c>
      <c r="E808" s="31" t="s">
        <v>63</v>
      </c>
      <c r="F808" s="31" t="n">
        <v>21</v>
      </c>
      <c r="G808" s="31" t="n">
        <v>183293</v>
      </c>
      <c r="H808" s="31" t="n">
        <v>53</v>
      </c>
      <c r="I808" s="32" t="n">
        <v>73.74999964</v>
      </c>
      <c r="J808" s="31" t="n">
        <v>2</v>
      </c>
      <c r="K808" s="31" t="n">
        <v>1</v>
      </c>
    </row>
    <row r="809" customFormat="false" ht="15" hidden="false" customHeight="false" outlineLevel="0" collapsed="false">
      <c r="A809" s="31" t="n">
        <v>1122232</v>
      </c>
      <c r="B809" s="31" t="n">
        <v>1178</v>
      </c>
      <c r="C809" s="31" t="n">
        <v>144729</v>
      </c>
      <c r="D809" s="31" t="s">
        <v>60</v>
      </c>
      <c r="E809" s="31" t="s">
        <v>63</v>
      </c>
      <c r="F809" s="31" t="n">
        <v>22</v>
      </c>
      <c r="G809" s="31" t="n">
        <v>221561</v>
      </c>
      <c r="H809" s="31" t="n">
        <v>55</v>
      </c>
      <c r="I809" s="32" t="n">
        <v>76.75999916</v>
      </c>
      <c r="J809" s="31" t="n">
        <v>1</v>
      </c>
      <c r="K809" s="31" t="n">
        <v>0</v>
      </c>
    </row>
    <row r="810" customFormat="false" ht="15" hidden="false" customHeight="false" outlineLevel="0" collapsed="false">
      <c r="A810" s="31" t="n">
        <v>1122233</v>
      </c>
      <c r="B810" s="31" t="n">
        <v>1178</v>
      </c>
      <c r="C810" s="31" t="n">
        <v>144729</v>
      </c>
      <c r="D810" s="31" t="s">
        <v>60</v>
      </c>
      <c r="E810" s="31" t="s">
        <v>63</v>
      </c>
      <c r="F810" s="31" t="n">
        <v>22</v>
      </c>
      <c r="G810" s="31" t="n">
        <v>436943</v>
      </c>
      <c r="H810" s="31" t="n">
        <v>109</v>
      </c>
      <c r="I810" s="32" t="n">
        <v>145.8199974</v>
      </c>
      <c r="J810" s="31" t="n">
        <v>1</v>
      </c>
      <c r="K810" s="31" t="n">
        <v>1</v>
      </c>
    </row>
    <row r="811" customFormat="false" ht="15" hidden="false" customHeight="false" outlineLevel="0" collapsed="false">
      <c r="A811" s="31" t="n">
        <v>1122240</v>
      </c>
      <c r="B811" s="31" t="n">
        <v>1178</v>
      </c>
      <c r="C811" s="31" t="n">
        <v>144730</v>
      </c>
      <c r="D811" s="31" t="s">
        <v>60</v>
      </c>
      <c r="E811" s="31" t="s">
        <v>63</v>
      </c>
      <c r="F811" s="31" t="n">
        <v>23</v>
      </c>
      <c r="G811" s="31" t="n">
        <v>284488</v>
      </c>
      <c r="H811" s="31" t="n">
        <v>90</v>
      </c>
      <c r="I811" s="32" t="n">
        <v>125.2700011</v>
      </c>
      <c r="J811" s="31" t="n">
        <v>1</v>
      </c>
      <c r="K811" s="31" t="n">
        <v>1</v>
      </c>
    </row>
    <row r="812" customFormat="false" ht="15" hidden="false" customHeight="false" outlineLevel="0" collapsed="false">
      <c r="A812" s="31" t="n">
        <v>1122244</v>
      </c>
      <c r="B812" s="31" t="n">
        <v>1178</v>
      </c>
      <c r="C812" s="31" t="n">
        <v>144731</v>
      </c>
      <c r="D812" s="31" t="s">
        <v>60</v>
      </c>
      <c r="E812" s="31" t="s">
        <v>63</v>
      </c>
      <c r="F812" s="31" t="n">
        <v>24</v>
      </c>
      <c r="G812" s="31" t="n">
        <v>85083</v>
      </c>
      <c r="H812" s="31" t="n">
        <v>32</v>
      </c>
      <c r="I812" s="32" t="n">
        <v>38.62999976</v>
      </c>
      <c r="J812" s="31" t="n">
        <v>1</v>
      </c>
      <c r="K812" s="31" t="n">
        <v>1</v>
      </c>
    </row>
    <row r="813" customFormat="false" ht="15" hidden="false" customHeight="false" outlineLevel="0" collapsed="false">
      <c r="A813" s="31" t="n">
        <v>1122246</v>
      </c>
      <c r="B813" s="31" t="n">
        <v>1178</v>
      </c>
      <c r="C813" s="31" t="n">
        <v>144731</v>
      </c>
      <c r="D813" s="31" t="s">
        <v>60</v>
      </c>
      <c r="E813" s="31" t="s">
        <v>63</v>
      </c>
      <c r="F813" s="31" t="n">
        <v>24</v>
      </c>
      <c r="G813" s="31" t="n">
        <v>14167</v>
      </c>
      <c r="H813" s="31" t="n">
        <v>5</v>
      </c>
      <c r="I813" s="32" t="n">
        <v>7.139999986</v>
      </c>
      <c r="J813" s="31" t="n">
        <v>1</v>
      </c>
      <c r="K813" s="31" t="n">
        <v>0</v>
      </c>
    </row>
    <row r="814" customFormat="false" ht="15" hidden="false" customHeight="false" outlineLevel="0" collapsed="false">
      <c r="A814" s="31" t="n">
        <v>1122249</v>
      </c>
      <c r="B814" s="31" t="n">
        <v>1178</v>
      </c>
      <c r="C814" s="31" t="n">
        <v>144732</v>
      </c>
      <c r="D814" s="31" t="s">
        <v>60</v>
      </c>
      <c r="E814" s="31" t="s">
        <v>63</v>
      </c>
      <c r="F814" s="31" t="n">
        <v>25</v>
      </c>
      <c r="G814" s="31" t="n">
        <v>300637</v>
      </c>
      <c r="H814" s="31" t="n">
        <v>84</v>
      </c>
      <c r="I814" s="32" t="n">
        <v>116.9899981</v>
      </c>
      <c r="J814" s="31" t="n">
        <v>2</v>
      </c>
      <c r="K814" s="31" t="n">
        <v>0</v>
      </c>
    </row>
    <row r="815" customFormat="false" ht="15" hidden="false" customHeight="false" outlineLevel="0" collapsed="false">
      <c r="A815" s="31" t="n">
        <v>1122253</v>
      </c>
      <c r="B815" s="31" t="n">
        <v>1178</v>
      </c>
      <c r="C815" s="31" t="n">
        <v>144732</v>
      </c>
      <c r="D815" s="31" t="s">
        <v>60</v>
      </c>
      <c r="E815" s="31" t="s">
        <v>63</v>
      </c>
      <c r="F815" s="31" t="n">
        <v>25</v>
      </c>
      <c r="G815" s="31" t="n">
        <v>449921</v>
      </c>
      <c r="H815" s="31" t="n">
        <v>129</v>
      </c>
      <c r="I815" s="32" t="n">
        <v>175.9700005</v>
      </c>
      <c r="J815" s="31" t="n">
        <v>5</v>
      </c>
      <c r="K815" s="31" t="n">
        <v>1</v>
      </c>
    </row>
    <row r="816" customFormat="false" ht="15" hidden="false" customHeight="false" outlineLevel="0" collapsed="false">
      <c r="A816" s="31" t="n">
        <v>1122254</v>
      </c>
      <c r="B816" s="31" t="n">
        <v>1178</v>
      </c>
      <c r="C816" s="31" t="n">
        <v>144732</v>
      </c>
      <c r="D816" s="31" t="s">
        <v>60</v>
      </c>
      <c r="E816" s="31" t="s">
        <v>63</v>
      </c>
      <c r="F816" s="31" t="n">
        <v>25</v>
      </c>
      <c r="G816" s="31" t="n">
        <v>282899</v>
      </c>
      <c r="H816" s="31" t="n">
        <v>71</v>
      </c>
      <c r="I816" s="32" t="n">
        <v>105.6600007</v>
      </c>
      <c r="J816" s="31" t="n">
        <v>1</v>
      </c>
      <c r="K816" s="31" t="n">
        <v>0</v>
      </c>
    </row>
    <row r="817" customFormat="false" ht="15" hidden="false" customHeight="false" outlineLevel="0" collapsed="false">
      <c r="A817" s="31" t="n">
        <v>1122257</v>
      </c>
      <c r="B817" s="31" t="n">
        <v>1178</v>
      </c>
      <c r="C817" s="31" t="n">
        <v>144733</v>
      </c>
      <c r="D817" s="31" t="s">
        <v>60</v>
      </c>
      <c r="E817" s="31" t="s">
        <v>63</v>
      </c>
      <c r="F817" s="31" t="n">
        <v>26</v>
      </c>
      <c r="G817" s="31" t="n">
        <v>669671</v>
      </c>
      <c r="H817" s="31" t="n">
        <v>186</v>
      </c>
      <c r="I817" s="32" t="n">
        <v>259.1799988</v>
      </c>
      <c r="J817" s="31" t="n">
        <v>4</v>
      </c>
      <c r="K817" s="31" t="n">
        <v>1</v>
      </c>
    </row>
    <row r="818" customFormat="false" ht="15" hidden="false" customHeight="false" outlineLevel="0" collapsed="false">
      <c r="A818" s="31" t="n">
        <v>1122258</v>
      </c>
      <c r="B818" s="31" t="n">
        <v>1178</v>
      </c>
      <c r="C818" s="31" t="n">
        <v>144733</v>
      </c>
      <c r="D818" s="31" t="s">
        <v>60</v>
      </c>
      <c r="E818" s="31" t="s">
        <v>63</v>
      </c>
      <c r="F818" s="31" t="n">
        <v>26</v>
      </c>
      <c r="G818" s="31" t="n">
        <v>108655</v>
      </c>
      <c r="H818" s="31" t="n">
        <v>28</v>
      </c>
      <c r="I818" s="32" t="n">
        <v>46.92000186</v>
      </c>
      <c r="J818" s="31" t="n">
        <v>1</v>
      </c>
      <c r="K818" s="31" t="n">
        <v>0</v>
      </c>
    </row>
    <row r="819" customFormat="false" ht="15" hidden="false" customHeight="false" outlineLevel="0" collapsed="false">
      <c r="A819" s="31" t="n">
        <v>1122260</v>
      </c>
      <c r="B819" s="31" t="n">
        <v>1178</v>
      </c>
      <c r="C819" s="31" t="n">
        <v>144733</v>
      </c>
      <c r="D819" s="31" t="s">
        <v>60</v>
      </c>
      <c r="E819" s="31" t="s">
        <v>63</v>
      </c>
      <c r="F819" s="31" t="n">
        <v>26</v>
      </c>
      <c r="G819" s="31" t="n">
        <v>536248</v>
      </c>
      <c r="H819" s="31" t="n">
        <v>146</v>
      </c>
      <c r="I819" s="32" t="n">
        <v>187.7399978</v>
      </c>
      <c r="J819" s="31" t="n">
        <v>3</v>
      </c>
      <c r="K819" s="31" t="n">
        <v>0</v>
      </c>
    </row>
    <row r="820" customFormat="false" ht="15" hidden="false" customHeight="false" outlineLevel="0" collapsed="false">
      <c r="A820" s="31" t="n">
        <v>1122262</v>
      </c>
      <c r="B820" s="31" t="n">
        <v>1178</v>
      </c>
      <c r="C820" s="31" t="n">
        <v>144734</v>
      </c>
      <c r="D820" s="31" t="s">
        <v>60</v>
      </c>
      <c r="E820" s="31" t="s">
        <v>63</v>
      </c>
      <c r="F820" s="31" t="n">
        <v>27</v>
      </c>
      <c r="G820" s="31" t="n">
        <v>1055017</v>
      </c>
      <c r="H820" s="31" t="n">
        <v>265</v>
      </c>
      <c r="I820" s="32" t="n">
        <v>380.6599952</v>
      </c>
      <c r="J820" s="31" t="n">
        <v>16</v>
      </c>
      <c r="K820" s="31" t="n">
        <v>2</v>
      </c>
    </row>
    <row r="821" customFormat="false" ht="15" hidden="false" customHeight="false" outlineLevel="0" collapsed="false">
      <c r="A821" s="31" t="n">
        <v>1122265</v>
      </c>
      <c r="B821" s="31" t="n">
        <v>1178</v>
      </c>
      <c r="C821" s="31" t="n">
        <v>144734</v>
      </c>
      <c r="D821" s="31" t="s">
        <v>60</v>
      </c>
      <c r="E821" s="31" t="s">
        <v>63</v>
      </c>
      <c r="F821" s="31" t="n">
        <v>27</v>
      </c>
      <c r="G821" s="31" t="n">
        <v>1428421</v>
      </c>
      <c r="H821" s="31" t="n">
        <v>367</v>
      </c>
      <c r="I821" s="32" t="n">
        <v>541.7000023</v>
      </c>
      <c r="J821" s="31" t="n">
        <v>10</v>
      </c>
      <c r="K821" s="31" t="n">
        <v>0</v>
      </c>
    </row>
    <row r="822" customFormat="false" ht="15" hidden="false" customHeight="false" outlineLevel="0" collapsed="false">
      <c r="A822" s="31" t="n">
        <v>1122266</v>
      </c>
      <c r="B822" s="31" t="n">
        <v>1178</v>
      </c>
      <c r="C822" s="31" t="n">
        <v>144734</v>
      </c>
      <c r="D822" s="31" t="s">
        <v>60</v>
      </c>
      <c r="E822" s="31" t="s">
        <v>63</v>
      </c>
      <c r="F822" s="31" t="n">
        <v>27</v>
      </c>
      <c r="G822" s="31" t="n">
        <v>1088027</v>
      </c>
      <c r="H822" s="31" t="n">
        <v>272</v>
      </c>
      <c r="I822" s="32" t="n">
        <v>409.5600026</v>
      </c>
      <c r="J822" s="31" t="n">
        <v>9</v>
      </c>
      <c r="K822" s="31" t="n">
        <v>4</v>
      </c>
    </row>
    <row r="823" customFormat="false" ht="15" hidden="false" customHeight="false" outlineLevel="0" collapsed="false">
      <c r="A823" s="31" t="n">
        <v>1122267</v>
      </c>
      <c r="B823" s="31" t="n">
        <v>1178</v>
      </c>
      <c r="C823" s="31" t="n">
        <v>144735</v>
      </c>
      <c r="D823" s="31" t="s">
        <v>60</v>
      </c>
      <c r="E823" s="31" t="s">
        <v>63</v>
      </c>
      <c r="F823" s="31" t="n">
        <v>28</v>
      </c>
      <c r="G823" s="31" t="n">
        <v>288517</v>
      </c>
      <c r="H823" s="31" t="n">
        <v>78</v>
      </c>
      <c r="I823" s="32" t="n">
        <v>102.3900002</v>
      </c>
      <c r="J823" s="31" t="n">
        <v>3</v>
      </c>
      <c r="K823" s="31" t="n">
        <v>0</v>
      </c>
    </row>
    <row r="824" customFormat="false" ht="15" hidden="false" customHeight="false" outlineLevel="0" collapsed="false">
      <c r="A824" s="31" t="n">
        <v>1122268</v>
      </c>
      <c r="B824" s="31" t="n">
        <v>1178</v>
      </c>
      <c r="C824" s="31" t="n">
        <v>144735</v>
      </c>
      <c r="D824" s="31" t="s">
        <v>60</v>
      </c>
      <c r="E824" s="31" t="s">
        <v>63</v>
      </c>
      <c r="F824" s="31" t="n">
        <v>28</v>
      </c>
      <c r="G824" s="31" t="n">
        <v>202231</v>
      </c>
      <c r="H824" s="31" t="n">
        <v>53</v>
      </c>
      <c r="I824" s="32" t="n">
        <v>67.13000107</v>
      </c>
      <c r="J824" s="31" t="n">
        <v>3</v>
      </c>
      <c r="K824" s="31" t="n">
        <v>1</v>
      </c>
    </row>
    <row r="825" customFormat="false" ht="15" hidden="false" customHeight="false" outlineLevel="0" collapsed="false">
      <c r="A825" s="31" t="n">
        <v>1122270</v>
      </c>
      <c r="B825" s="31" t="n">
        <v>1178</v>
      </c>
      <c r="C825" s="31" t="n">
        <v>144735</v>
      </c>
      <c r="D825" s="31" t="s">
        <v>60</v>
      </c>
      <c r="E825" s="31" t="s">
        <v>63</v>
      </c>
      <c r="F825" s="31" t="n">
        <v>28</v>
      </c>
      <c r="G825" s="31" t="n">
        <v>73222</v>
      </c>
      <c r="H825" s="31" t="n">
        <v>16</v>
      </c>
      <c r="I825" s="32" t="n">
        <v>22.86000025</v>
      </c>
      <c r="J825" s="31" t="n">
        <v>1</v>
      </c>
      <c r="K825" s="31" t="n">
        <v>0</v>
      </c>
    </row>
    <row r="826" customFormat="false" ht="15" hidden="false" customHeight="false" outlineLevel="0" collapsed="false">
      <c r="A826" s="31" t="n">
        <v>1122271</v>
      </c>
      <c r="B826" s="31" t="n">
        <v>1178</v>
      </c>
      <c r="C826" s="31" t="n">
        <v>144735</v>
      </c>
      <c r="D826" s="31" t="s">
        <v>60</v>
      </c>
      <c r="E826" s="31" t="s">
        <v>63</v>
      </c>
      <c r="F826" s="31" t="n">
        <v>28</v>
      </c>
      <c r="G826" s="31" t="n">
        <v>348542</v>
      </c>
      <c r="H826" s="31" t="n">
        <v>96</v>
      </c>
      <c r="I826" s="32" t="n">
        <v>134.889999</v>
      </c>
      <c r="J826" s="31" t="n">
        <v>2</v>
      </c>
      <c r="K826" s="31" t="n">
        <v>0</v>
      </c>
    </row>
    <row r="827" customFormat="false" ht="15" hidden="false" customHeight="false" outlineLevel="0" collapsed="false">
      <c r="A827" s="31" t="n">
        <v>1122273</v>
      </c>
      <c r="B827" s="31" t="n">
        <v>1178</v>
      </c>
      <c r="C827" s="31" t="n">
        <v>144736</v>
      </c>
      <c r="D827" s="31" t="s">
        <v>60</v>
      </c>
      <c r="E827" s="31" t="s">
        <v>63</v>
      </c>
      <c r="F827" s="31" t="n">
        <v>29</v>
      </c>
      <c r="G827" s="31" t="n">
        <v>1097966</v>
      </c>
      <c r="H827" s="31" t="n">
        <v>266</v>
      </c>
      <c r="I827" s="32" t="n">
        <v>369.069997</v>
      </c>
      <c r="J827" s="31" t="n">
        <v>16</v>
      </c>
      <c r="K827" s="31" t="n">
        <v>8</v>
      </c>
    </row>
    <row r="828" customFormat="false" ht="15" hidden="false" customHeight="false" outlineLevel="0" collapsed="false">
      <c r="A828" s="31" t="n">
        <v>1122274</v>
      </c>
      <c r="B828" s="31" t="n">
        <v>1178</v>
      </c>
      <c r="C828" s="31" t="n">
        <v>144736</v>
      </c>
      <c r="D828" s="31" t="s">
        <v>60</v>
      </c>
      <c r="E828" s="31" t="s">
        <v>63</v>
      </c>
      <c r="F828" s="31" t="n">
        <v>29</v>
      </c>
      <c r="G828" s="31" t="n">
        <v>526923</v>
      </c>
      <c r="H828" s="31" t="n">
        <v>138</v>
      </c>
      <c r="I828" s="32" t="n">
        <v>198.0899972</v>
      </c>
      <c r="J828" s="31" t="n">
        <v>2</v>
      </c>
      <c r="K828" s="31" t="n">
        <v>1</v>
      </c>
    </row>
    <row r="829" customFormat="false" ht="15" hidden="false" customHeight="false" outlineLevel="0" collapsed="false">
      <c r="A829" s="31" t="n">
        <v>1122276</v>
      </c>
      <c r="B829" s="31" t="n">
        <v>1178</v>
      </c>
      <c r="C829" s="31" t="n">
        <v>144736</v>
      </c>
      <c r="D829" s="31" t="s">
        <v>60</v>
      </c>
      <c r="E829" s="31" t="s">
        <v>63</v>
      </c>
      <c r="F829" s="31" t="n">
        <v>29</v>
      </c>
      <c r="G829" s="31" t="n">
        <v>264386</v>
      </c>
      <c r="H829" s="31" t="n">
        <v>66</v>
      </c>
      <c r="I829" s="32" t="n">
        <v>91.00000054</v>
      </c>
      <c r="J829" s="31" t="n">
        <v>4</v>
      </c>
      <c r="K829" s="31" t="n">
        <v>1</v>
      </c>
    </row>
    <row r="830" customFormat="false" ht="15" hidden="false" customHeight="false" outlineLevel="0" collapsed="false">
      <c r="A830" s="31" t="n">
        <v>1122277</v>
      </c>
      <c r="B830" s="31" t="n">
        <v>1178</v>
      </c>
      <c r="C830" s="31" t="n">
        <v>144736</v>
      </c>
      <c r="D830" s="31" t="s">
        <v>60</v>
      </c>
      <c r="E830" s="31" t="s">
        <v>63</v>
      </c>
      <c r="F830" s="31" t="n">
        <v>29</v>
      </c>
      <c r="G830" s="31" t="n">
        <v>854940</v>
      </c>
      <c r="H830" s="31" t="n">
        <v>227</v>
      </c>
      <c r="I830" s="32" t="n">
        <v>297.9100007</v>
      </c>
      <c r="J830" s="31" t="n">
        <v>8</v>
      </c>
      <c r="K830" s="31" t="n">
        <v>3</v>
      </c>
    </row>
    <row r="831" customFormat="false" ht="15" hidden="false" customHeight="false" outlineLevel="0" collapsed="false">
      <c r="A831" s="31" t="n">
        <v>1122279</v>
      </c>
      <c r="B831" s="31" t="n">
        <v>1178</v>
      </c>
      <c r="C831" s="31" t="n">
        <v>144737</v>
      </c>
      <c r="D831" s="31" t="s">
        <v>60</v>
      </c>
      <c r="E831" s="31" t="s">
        <v>63</v>
      </c>
      <c r="F831" s="31" t="n">
        <v>30</v>
      </c>
      <c r="G831" s="31" t="n">
        <v>113567</v>
      </c>
      <c r="H831" s="31" t="n">
        <v>34</v>
      </c>
      <c r="I831" s="32" t="n">
        <v>50.29000044</v>
      </c>
      <c r="J831" s="31" t="n">
        <v>3</v>
      </c>
      <c r="K831" s="31" t="n">
        <v>0</v>
      </c>
    </row>
    <row r="832" customFormat="false" ht="15" hidden="false" customHeight="false" outlineLevel="0" collapsed="false">
      <c r="A832" s="31" t="n">
        <v>1122282</v>
      </c>
      <c r="B832" s="31" t="n">
        <v>1178</v>
      </c>
      <c r="C832" s="31" t="n">
        <v>144737</v>
      </c>
      <c r="D832" s="31" t="s">
        <v>60</v>
      </c>
      <c r="E832" s="31" t="s">
        <v>63</v>
      </c>
      <c r="F832" s="31" t="n">
        <v>30</v>
      </c>
      <c r="G832" s="31" t="n">
        <v>22859</v>
      </c>
      <c r="H832" s="31" t="n">
        <v>6</v>
      </c>
      <c r="I832" s="32" t="n">
        <v>9.419999838</v>
      </c>
      <c r="J832" s="31" t="n">
        <v>1</v>
      </c>
      <c r="K832" s="31" t="n">
        <v>0</v>
      </c>
    </row>
    <row r="833" customFormat="false" ht="15" hidden="false" customHeight="false" outlineLevel="0" collapsed="false">
      <c r="A833" s="31" t="n">
        <v>1122288</v>
      </c>
      <c r="B833" s="31" t="n">
        <v>1178</v>
      </c>
      <c r="C833" s="31" t="n">
        <v>144738</v>
      </c>
      <c r="D833" s="31" t="s">
        <v>60</v>
      </c>
      <c r="E833" s="31" t="s">
        <v>63</v>
      </c>
      <c r="F833" s="31" t="n">
        <v>31</v>
      </c>
      <c r="G833" s="31" t="n">
        <v>51754</v>
      </c>
      <c r="H833" s="31" t="n">
        <v>13</v>
      </c>
      <c r="I833" s="32" t="n">
        <v>20.51999998</v>
      </c>
      <c r="J833" s="31" t="n">
        <v>1</v>
      </c>
      <c r="K833" s="31" t="n">
        <v>0</v>
      </c>
    </row>
    <row r="834" customFormat="false" ht="15" hidden="false" customHeight="false" outlineLevel="0" collapsed="false">
      <c r="A834" s="31" t="n">
        <v>1122290</v>
      </c>
      <c r="B834" s="31" t="n">
        <v>1178</v>
      </c>
      <c r="C834" s="31" t="n">
        <v>144738</v>
      </c>
      <c r="D834" s="31" t="s">
        <v>60</v>
      </c>
      <c r="E834" s="31" t="s">
        <v>63</v>
      </c>
      <c r="F834" s="31" t="n">
        <v>31</v>
      </c>
      <c r="G834" s="31" t="n">
        <v>104347</v>
      </c>
      <c r="H834" s="31" t="n">
        <v>28</v>
      </c>
      <c r="I834" s="32" t="n">
        <v>38.13999993</v>
      </c>
      <c r="J834" s="31" t="n">
        <v>4</v>
      </c>
      <c r="K834" s="31" t="n">
        <v>3</v>
      </c>
    </row>
    <row r="835" customFormat="false" ht="15" hidden="false" customHeight="false" outlineLevel="0" collapsed="false">
      <c r="A835" s="31" t="n">
        <v>1122303</v>
      </c>
      <c r="B835" s="31" t="n">
        <v>1178</v>
      </c>
      <c r="C835" s="31" t="n">
        <v>144741</v>
      </c>
      <c r="D835" s="31" t="s">
        <v>60</v>
      </c>
      <c r="E835" s="31" t="s">
        <v>63</v>
      </c>
      <c r="F835" s="31" t="n">
        <v>63</v>
      </c>
      <c r="G835" s="31" t="n">
        <v>391998</v>
      </c>
      <c r="H835" s="31" t="n">
        <v>97</v>
      </c>
      <c r="I835" s="32" t="n">
        <v>142.0500025</v>
      </c>
      <c r="J835" s="31" t="n">
        <v>3</v>
      </c>
      <c r="K835" s="31" t="n">
        <v>1</v>
      </c>
    </row>
    <row r="836" customFormat="false" ht="15" hidden="false" customHeight="false" outlineLevel="0" collapsed="false">
      <c r="A836" s="31" t="n">
        <v>1122304</v>
      </c>
      <c r="B836" s="31" t="n">
        <v>1178</v>
      </c>
      <c r="C836" s="31" t="n">
        <v>144741</v>
      </c>
      <c r="D836" s="31" t="s">
        <v>60</v>
      </c>
      <c r="E836" s="31" t="s">
        <v>63</v>
      </c>
      <c r="F836" s="31" t="n">
        <v>63</v>
      </c>
      <c r="G836" s="31" t="n">
        <v>1111156</v>
      </c>
      <c r="H836" s="31" t="n">
        <v>282</v>
      </c>
      <c r="I836" s="32" t="n">
        <v>402.3000026</v>
      </c>
      <c r="J836" s="31" t="n">
        <v>5</v>
      </c>
      <c r="K836" s="31" t="n">
        <v>0</v>
      </c>
    </row>
    <row r="837" customFormat="false" ht="15" hidden="false" customHeight="false" outlineLevel="0" collapsed="false">
      <c r="A837" s="31" t="n">
        <v>1122308</v>
      </c>
      <c r="B837" s="31" t="n">
        <v>1178</v>
      </c>
      <c r="C837" s="31" t="n">
        <v>144741</v>
      </c>
      <c r="D837" s="31" t="s">
        <v>60</v>
      </c>
      <c r="E837" s="31" t="s">
        <v>63</v>
      </c>
      <c r="F837" s="31" t="n">
        <v>63</v>
      </c>
      <c r="G837" s="31" t="n">
        <v>427772</v>
      </c>
      <c r="H837" s="31" t="n">
        <v>117</v>
      </c>
      <c r="I837" s="32" t="n">
        <v>159.299999</v>
      </c>
      <c r="J837" s="31" t="n">
        <v>3</v>
      </c>
      <c r="K837" s="31" t="n">
        <v>1</v>
      </c>
    </row>
    <row r="838" customFormat="false" ht="15" hidden="false" customHeight="false" outlineLevel="0" collapsed="false">
      <c r="A838" s="31" t="n">
        <v>1122310</v>
      </c>
      <c r="B838" s="31" t="n">
        <v>1178</v>
      </c>
      <c r="C838" s="31" t="n">
        <v>144742</v>
      </c>
      <c r="D838" s="31" t="s">
        <v>60</v>
      </c>
      <c r="E838" s="31" t="s">
        <v>63</v>
      </c>
      <c r="F838" s="31" t="n">
        <v>64</v>
      </c>
      <c r="G838" s="31" t="n">
        <v>536457</v>
      </c>
      <c r="H838" s="31" t="n">
        <v>136</v>
      </c>
      <c r="I838" s="32" t="n">
        <v>193.6599991</v>
      </c>
      <c r="J838" s="31" t="n">
        <v>2</v>
      </c>
      <c r="K838" s="31" t="n">
        <v>1</v>
      </c>
    </row>
    <row r="839" customFormat="false" ht="15" hidden="false" customHeight="false" outlineLevel="0" collapsed="false">
      <c r="A839" s="31" t="n">
        <v>1122311</v>
      </c>
      <c r="B839" s="31" t="n">
        <v>1178</v>
      </c>
      <c r="C839" s="31" t="n">
        <v>144742</v>
      </c>
      <c r="D839" s="31" t="s">
        <v>60</v>
      </c>
      <c r="E839" s="31" t="s">
        <v>63</v>
      </c>
      <c r="F839" s="31" t="n">
        <v>64</v>
      </c>
      <c r="G839" s="31" t="n">
        <v>179894</v>
      </c>
      <c r="H839" s="31" t="n">
        <v>43</v>
      </c>
      <c r="I839" s="32" t="n">
        <v>66.83999872</v>
      </c>
      <c r="J839" s="31" t="n">
        <v>2</v>
      </c>
      <c r="K839" s="31" t="n">
        <v>0</v>
      </c>
    </row>
    <row r="840" customFormat="false" ht="15" hidden="false" customHeight="false" outlineLevel="0" collapsed="false">
      <c r="A840" s="31" t="n">
        <v>1122312</v>
      </c>
      <c r="B840" s="31" t="n">
        <v>1178</v>
      </c>
      <c r="C840" s="31" t="n">
        <v>144742</v>
      </c>
      <c r="D840" s="31" t="s">
        <v>60</v>
      </c>
      <c r="E840" s="31" t="s">
        <v>63</v>
      </c>
      <c r="F840" s="31" t="n">
        <v>64</v>
      </c>
      <c r="G840" s="31" t="n">
        <v>479882</v>
      </c>
      <c r="H840" s="31" t="n">
        <v>131</v>
      </c>
      <c r="I840" s="32" t="n">
        <v>178.6700007</v>
      </c>
      <c r="J840" s="31" t="n">
        <v>6</v>
      </c>
      <c r="K840" s="31" t="n">
        <v>0</v>
      </c>
    </row>
    <row r="841" customFormat="false" ht="15" hidden="false" customHeight="false" outlineLevel="0" collapsed="false">
      <c r="A841" s="31" t="n">
        <v>1122313</v>
      </c>
      <c r="B841" s="31" t="n">
        <v>1178</v>
      </c>
      <c r="C841" s="31" t="n">
        <v>144742</v>
      </c>
      <c r="D841" s="31" t="s">
        <v>60</v>
      </c>
      <c r="E841" s="31" t="s">
        <v>63</v>
      </c>
      <c r="F841" s="31" t="n">
        <v>64</v>
      </c>
      <c r="G841" s="31" t="n">
        <v>358261</v>
      </c>
      <c r="H841" s="31" t="n">
        <v>91</v>
      </c>
      <c r="I841" s="32" t="n">
        <v>130.3600011</v>
      </c>
      <c r="J841" s="31" t="n">
        <v>1</v>
      </c>
      <c r="K841" s="31" t="n">
        <v>0</v>
      </c>
    </row>
    <row r="842" customFormat="false" ht="15" hidden="false" customHeight="false" outlineLevel="0" collapsed="false">
      <c r="A842" s="31" t="n">
        <v>1122316</v>
      </c>
      <c r="B842" s="31" t="n">
        <v>1178</v>
      </c>
      <c r="C842" s="31" t="n">
        <v>144743</v>
      </c>
      <c r="D842" s="31" t="s">
        <v>60</v>
      </c>
      <c r="E842" s="31" t="s">
        <v>63</v>
      </c>
      <c r="F842" s="31" t="n">
        <v>65</v>
      </c>
      <c r="G842" s="31" t="n">
        <v>346688</v>
      </c>
      <c r="H842" s="31" t="n">
        <v>88</v>
      </c>
      <c r="I842" s="32" t="n">
        <v>114.8599998</v>
      </c>
      <c r="J842" s="31" t="n">
        <v>2</v>
      </c>
      <c r="K842" s="31" t="n">
        <v>0</v>
      </c>
    </row>
    <row r="843" customFormat="false" ht="15" hidden="false" customHeight="false" outlineLevel="0" collapsed="false">
      <c r="A843" s="31" t="n">
        <v>1314296</v>
      </c>
      <c r="B843" s="31" t="n">
        <v>1178</v>
      </c>
      <c r="C843" s="31" t="n">
        <v>179863</v>
      </c>
      <c r="D843" s="31" t="s">
        <v>57</v>
      </c>
      <c r="E843" s="31" t="s">
        <v>64</v>
      </c>
      <c r="F843" s="31" t="n">
        <v>100</v>
      </c>
      <c r="G843" s="31" t="n">
        <v>33445</v>
      </c>
      <c r="H843" s="31" t="n">
        <v>2</v>
      </c>
      <c r="I843" s="32" t="n">
        <v>3.199999928</v>
      </c>
      <c r="J843" s="31" t="n">
        <v>1</v>
      </c>
      <c r="K843" s="31" t="n">
        <v>0</v>
      </c>
    </row>
    <row r="844" customFormat="false" ht="15" hidden="false" customHeight="false" outlineLevel="0" collapsed="false">
      <c r="A844" s="31" t="n">
        <v>1314297</v>
      </c>
      <c r="B844" s="31" t="n">
        <v>1178</v>
      </c>
      <c r="C844" s="31" t="n">
        <v>179864</v>
      </c>
      <c r="D844" s="31" t="s">
        <v>57</v>
      </c>
      <c r="E844" s="31" t="s">
        <v>64</v>
      </c>
      <c r="F844" s="31" t="n">
        <v>101</v>
      </c>
      <c r="G844" s="31" t="n">
        <v>72228</v>
      </c>
      <c r="H844" s="31" t="n">
        <v>5</v>
      </c>
      <c r="I844" s="32" t="n">
        <v>7.529999852</v>
      </c>
      <c r="J844" s="31" t="n">
        <v>4</v>
      </c>
      <c r="K844" s="31" t="n">
        <v>4</v>
      </c>
    </row>
    <row r="845" customFormat="false" ht="15" hidden="false" customHeight="false" outlineLevel="0" collapsed="false">
      <c r="A845" s="31" t="n">
        <v>1314298</v>
      </c>
      <c r="B845" s="31" t="n">
        <v>1178</v>
      </c>
      <c r="C845" s="31" t="n">
        <v>179865</v>
      </c>
      <c r="D845" s="31" t="s">
        <v>57</v>
      </c>
      <c r="E845" s="31" t="s">
        <v>64</v>
      </c>
      <c r="F845" s="31" t="n">
        <v>102</v>
      </c>
      <c r="G845" s="31" t="n">
        <v>49699</v>
      </c>
      <c r="H845" s="31" t="n">
        <v>2</v>
      </c>
      <c r="I845" s="32" t="n">
        <v>2.690000057</v>
      </c>
      <c r="J845" s="31" t="n">
        <v>2</v>
      </c>
      <c r="K845" s="31" t="n">
        <v>1</v>
      </c>
    </row>
    <row r="846" customFormat="false" ht="15" hidden="false" customHeight="false" outlineLevel="0" collapsed="false">
      <c r="A846" s="31" t="n">
        <v>1314299</v>
      </c>
      <c r="B846" s="31" t="n">
        <v>1178</v>
      </c>
      <c r="C846" s="31" t="n">
        <v>179866</v>
      </c>
      <c r="D846" s="31" t="s">
        <v>57</v>
      </c>
      <c r="E846" s="31" t="s">
        <v>64</v>
      </c>
      <c r="F846" s="31" t="n">
        <v>103</v>
      </c>
      <c r="G846" s="31" t="n">
        <v>189761</v>
      </c>
      <c r="H846" s="31" t="n">
        <v>18</v>
      </c>
      <c r="I846" s="32" t="n">
        <v>27.32999969</v>
      </c>
      <c r="J846" s="31" t="n">
        <v>4</v>
      </c>
      <c r="K846" s="31" t="n">
        <v>1</v>
      </c>
    </row>
    <row r="847" customFormat="false" ht="15" hidden="false" customHeight="false" outlineLevel="0" collapsed="false">
      <c r="A847" s="31" t="n">
        <v>1314301</v>
      </c>
      <c r="B847" s="31" t="n">
        <v>1178</v>
      </c>
      <c r="C847" s="31" t="n">
        <v>179868</v>
      </c>
      <c r="D847" s="31" t="s">
        <v>57</v>
      </c>
      <c r="E847" s="31" t="s">
        <v>64</v>
      </c>
      <c r="F847" s="31" t="n">
        <v>105</v>
      </c>
      <c r="G847" s="31" t="n">
        <v>312524</v>
      </c>
      <c r="H847" s="31" t="n">
        <v>37</v>
      </c>
      <c r="I847" s="32" t="n">
        <v>53.78999972</v>
      </c>
      <c r="J847" s="31" t="n">
        <v>2</v>
      </c>
      <c r="K847" s="31" t="n">
        <v>0</v>
      </c>
    </row>
    <row r="848" customFormat="false" ht="15" hidden="false" customHeight="false" outlineLevel="0" collapsed="false">
      <c r="A848" s="31" t="n">
        <v>1314303</v>
      </c>
      <c r="B848" s="31" t="n">
        <v>1178</v>
      </c>
      <c r="C848" s="31" t="n">
        <v>179870</v>
      </c>
      <c r="D848" s="31" t="s">
        <v>57</v>
      </c>
      <c r="E848" s="31" t="s">
        <v>64</v>
      </c>
      <c r="F848" s="31" t="n">
        <v>107</v>
      </c>
      <c r="G848" s="31" t="n">
        <v>496760</v>
      </c>
      <c r="H848" s="31" t="n">
        <v>42</v>
      </c>
      <c r="I848" s="32" t="n">
        <v>61.00999904</v>
      </c>
      <c r="J848" s="31" t="n">
        <v>10</v>
      </c>
      <c r="K848" s="31" t="n">
        <v>3</v>
      </c>
    </row>
    <row r="849" customFormat="false" ht="15" hidden="false" customHeight="false" outlineLevel="0" collapsed="false">
      <c r="A849" s="31" t="n">
        <v>1314306</v>
      </c>
      <c r="B849" s="31" t="n">
        <v>1178</v>
      </c>
      <c r="C849" s="31" t="n">
        <v>179873</v>
      </c>
      <c r="D849" s="31" t="s">
        <v>57</v>
      </c>
      <c r="E849" s="31" t="s">
        <v>64</v>
      </c>
      <c r="F849" s="31" t="n">
        <v>110</v>
      </c>
      <c r="G849" s="31" t="n">
        <v>310988</v>
      </c>
      <c r="H849" s="31" t="n">
        <v>34</v>
      </c>
      <c r="I849" s="32" t="n">
        <v>46.66999936</v>
      </c>
      <c r="J849" s="31" t="n">
        <v>11</v>
      </c>
      <c r="K849" s="31" t="n">
        <v>3</v>
      </c>
    </row>
    <row r="850" customFormat="false" ht="15" hidden="false" customHeight="false" outlineLevel="0" collapsed="false">
      <c r="A850" s="31" t="n">
        <v>1314307</v>
      </c>
      <c r="B850" s="31" t="n">
        <v>1178</v>
      </c>
      <c r="C850" s="31" t="n">
        <v>179874</v>
      </c>
      <c r="D850" s="31" t="s">
        <v>57</v>
      </c>
      <c r="E850" s="31" t="s">
        <v>64</v>
      </c>
      <c r="F850" s="31" t="n">
        <v>111</v>
      </c>
      <c r="G850" s="31" t="n">
        <v>98606</v>
      </c>
      <c r="H850" s="31" t="n">
        <v>9</v>
      </c>
      <c r="I850" s="32" t="n">
        <v>12.10999984</v>
      </c>
      <c r="J850" s="31" t="n">
        <v>1</v>
      </c>
      <c r="K850" s="31" t="n">
        <v>0</v>
      </c>
    </row>
    <row r="851" customFormat="false" ht="15" hidden="false" customHeight="false" outlineLevel="0" collapsed="false">
      <c r="A851" s="31" t="n">
        <v>1314308</v>
      </c>
      <c r="B851" s="31" t="n">
        <v>1178</v>
      </c>
      <c r="C851" s="31" t="n">
        <v>179875</v>
      </c>
      <c r="D851" s="31" t="s">
        <v>57</v>
      </c>
      <c r="E851" s="31" t="s">
        <v>64</v>
      </c>
      <c r="F851" s="31" t="n">
        <v>112</v>
      </c>
      <c r="G851" s="31" t="n">
        <v>51104</v>
      </c>
      <c r="H851" s="31" t="n">
        <v>2</v>
      </c>
      <c r="I851" s="32" t="n">
        <v>3.199999928</v>
      </c>
      <c r="J851" s="31" t="n">
        <v>3</v>
      </c>
      <c r="K851" s="31" t="n">
        <v>1</v>
      </c>
    </row>
    <row r="852" customFormat="false" ht="15" hidden="false" customHeight="false" outlineLevel="0" collapsed="false">
      <c r="A852" s="31" t="n">
        <v>1314309</v>
      </c>
      <c r="B852" s="31" t="n">
        <v>1178</v>
      </c>
      <c r="C852" s="31" t="n">
        <v>179876</v>
      </c>
      <c r="D852" s="31" t="s">
        <v>57</v>
      </c>
      <c r="E852" s="31" t="s">
        <v>64</v>
      </c>
      <c r="F852" s="31" t="n">
        <v>113</v>
      </c>
      <c r="G852" s="31" t="n">
        <v>276762</v>
      </c>
      <c r="H852" s="31" t="n">
        <v>22</v>
      </c>
      <c r="I852" s="32" t="n">
        <v>32.09000015</v>
      </c>
      <c r="J852" s="31" t="n">
        <v>5</v>
      </c>
      <c r="K852" s="31" t="n">
        <v>1</v>
      </c>
    </row>
    <row r="853" customFormat="false" ht="15" hidden="false" customHeight="false" outlineLevel="0" collapsed="false">
      <c r="A853" s="31" t="n">
        <v>1314312</v>
      </c>
      <c r="B853" s="31" t="n">
        <v>1178</v>
      </c>
      <c r="C853" s="31" t="n">
        <v>179879</v>
      </c>
      <c r="D853" s="31" t="s">
        <v>58</v>
      </c>
      <c r="E853" s="31" t="s">
        <v>64</v>
      </c>
      <c r="F853" s="31" t="n">
        <v>101</v>
      </c>
      <c r="G853" s="31" t="n">
        <v>33534</v>
      </c>
      <c r="H853" s="31" t="n">
        <v>2</v>
      </c>
      <c r="I853" s="32" t="n">
        <v>2.960000038</v>
      </c>
      <c r="J853" s="31" t="n">
        <v>1</v>
      </c>
      <c r="K853" s="31" t="n">
        <v>1</v>
      </c>
    </row>
    <row r="854" customFormat="false" ht="15" hidden="false" customHeight="false" outlineLevel="0" collapsed="false">
      <c r="A854" s="31" t="n">
        <v>1314313</v>
      </c>
      <c r="B854" s="31" t="n">
        <v>1178</v>
      </c>
      <c r="C854" s="31" t="n">
        <v>179880</v>
      </c>
      <c r="D854" s="31" t="s">
        <v>58</v>
      </c>
      <c r="E854" s="31" t="s">
        <v>64</v>
      </c>
      <c r="F854" s="31" t="n">
        <v>102</v>
      </c>
      <c r="G854" s="31" t="n">
        <v>128859</v>
      </c>
      <c r="H854" s="31" t="n">
        <v>16</v>
      </c>
      <c r="I854" s="32" t="n">
        <v>23.69999957</v>
      </c>
      <c r="J854" s="31" t="n">
        <v>1</v>
      </c>
      <c r="K854" s="31" t="n">
        <v>0</v>
      </c>
    </row>
    <row r="855" customFormat="false" ht="15" hidden="false" customHeight="false" outlineLevel="0" collapsed="false">
      <c r="A855" s="31" t="n">
        <v>1314314</v>
      </c>
      <c r="B855" s="31" t="n">
        <v>1178</v>
      </c>
      <c r="C855" s="31" t="n">
        <v>179881</v>
      </c>
      <c r="D855" s="31" t="s">
        <v>58</v>
      </c>
      <c r="E855" s="31" t="s">
        <v>64</v>
      </c>
      <c r="F855" s="31" t="n">
        <v>103</v>
      </c>
      <c r="G855" s="31" t="n">
        <v>92080</v>
      </c>
      <c r="H855" s="31" t="n">
        <v>12</v>
      </c>
      <c r="I855" s="32" t="n">
        <v>16.94000018</v>
      </c>
      <c r="J855" s="31" t="n">
        <v>3</v>
      </c>
      <c r="K855" s="31" t="n">
        <v>2</v>
      </c>
    </row>
    <row r="856" customFormat="false" ht="15" hidden="false" customHeight="false" outlineLevel="0" collapsed="false">
      <c r="A856" s="31" t="n">
        <v>1314316</v>
      </c>
      <c r="B856" s="31" t="n">
        <v>1178</v>
      </c>
      <c r="C856" s="31" t="n">
        <v>179883</v>
      </c>
      <c r="D856" s="31" t="s">
        <v>58</v>
      </c>
      <c r="E856" s="31" t="s">
        <v>64</v>
      </c>
      <c r="F856" s="31" t="n">
        <v>105</v>
      </c>
      <c r="G856" s="31" t="n">
        <v>211882</v>
      </c>
      <c r="H856" s="31" t="n">
        <v>33</v>
      </c>
      <c r="I856" s="32" t="n">
        <v>46.64999926</v>
      </c>
      <c r="J856" s="31" t="n">
        <v>3</v>
      </c>
      <c r="K856" s="31" t="n">
        <v>1</v>
      </c>
    </row>
    <row r="857" customFormat="false" ht="15" hidden="false" customHeight="false" outlineLevel="0" collapsed="false">
      <c r="A857" s="31" t="n">
        <v>1314318</v>
      </c>
      <c r="B857" s="31" t="n">
        <v>1178</v>
      </c>
      <c r="C857" s="31" t="n">
        <v>179885</v>
      </c>
      <c r="D857" s="31" t="s">
        <v>58</v>
      </c>
      <c r="E857" s="31" t="s">
        <v>64</v>
      </c>
      <c r="F857" s="31" t="n">
        <v>107</v>
      </c>
      <c r="G857" s="31" t="n">
        <v>112776</v>
      </c>
      <c r="H857" s="31" t="n">
        <v>9</v>
      </c>
      <c r="I857" s="32" t="n">
        <v>12.67999995</v>
      </c>
      <c r="J857" s="31" t="n">
        <v>1</v>
      </c>
      <c r="K857" s="31" t="n">
        <v>0</v>
      </c>
    </row>
    <row r="858" customFormat="false" ht="15" hidden="false" customHeight="false" outlineLevel="0" collapsed="false">
      <c r="A858" s="31" t="n">
        <v>1314319</v>
      </c>
      <c r="B858" s="31" t="n">
        <v>1178</v>
      </c>
      <c r="C858" s="31" t="n">
        <v>179886</v>
      </c>
      <c r="D858" s="31" t="s">
        <v>58</v>
      </c>
      <c r="E858" s="31" t="s">
        <v>64</v>
      </c>
      <c r="F858" s="31" t="n">
        <v>108</v>
      </c>
      <c r="G858" s="31" t="n">
        <v>145324</v>
      </c>
      <c r="H858" s="31" t="n">
        <v>14</v>
      </c>
      <c r="I858" s="32" t="n">
        <v>19.82000005</v>
      </c>
      <c r="J858" s="31" t="n">
        <v>2</v>
      </c>
      <c r="K858" s="31" t="n">
        <v>1</v>
      </c>
    </row>
    <row r="859" customFormat="false" ht="15" hidden="false" customHeight="false" outlineLevel="0" collapsed="false">
      <c r="A859" s="31" t="n">
        <v>1314320</v>
      </c>
      <c r="B859" s="31" t="n">
        <v>1178</v>
      </c>
      <c r="C859" s="31" t="n">
        <v>179887</v>
      </c>
      <c r="D859" s="31" t="s">
        <v>58</v>
      </c>
      <c r="E859" s="31" t="s">
        <v>64</v>
      </c>
      <c r="F859" s="31" t="n">
        <v>109</v>
      </c>
      <c r="G859" s="31" t="n">
        <v>106492</v>
      </c>
      <c r="H859" s="31" t="n">
        <v>14</v>
      </c>
      <c r="I859" s="32" t="n">
        <v>21.26000023</v>
      </c>
      <c r="J859" s="31" t="n">
        <v>2</v>
      </c>
      <c r="K859" s="31" t="n">
        <v>0</v>
      </c>
    </row>
    <row r="860" customFormat="false" ht="15" hidden="false" customHeight="false" outlineLevel="0" collapsed="false">
      <c r="A860" s="31" t="n">
        <v>1314321</v>
      </c>
      <c r="B860" s="31" t="n">
        <v>1178</v>
      </c>
      <c r="C860" s="31" t="n">
        <v>179888</v>
      </c>
      <c r="D860" s="31" t="s">
        <v>58</v>
      </c>
      <c r="E860" s="31" t="s">
        <v>64</v>
      </c>
      <c r="F860" s="31" t="n">
        <v>110</v>
      </c>
      <c r="G860" s="31" t="n">
        <v>233845</v>
      </c>
      <c r="H860" s="31" t="n">
        <v>30</v>
      </c>
      <c r="I860" s="32" t="n">
        <v>40.73000062</v>
      </c>
      <c r="J860" s="31" t="n">
        <v>3</v>
      </c>
      <c r="K860" s="31" t="n">
        <v>0</v>
      </c>
    </row>
    <row r="861" customFormat="false" ht="15" hidden="false" customHeight="false" outlineLevel="0" collapsed="false">
      <c r="A861" s="31" t="n">
        <v>1314323</v>
      </c>
      <c r="B861" s="31" t="n">
        <v>1178</v>
      </c>
      <c r="C861" s="31" t="n">
        <v>179890</v>
      </c>
      <c r="D861" s="31" t="s">
        <v>58</v>
      </c>
      <c r="E861" s="31" t="s">
        <v>64</v>
      </c>
      <c r="F861" s="31" t="n">
        <v>112</v>
      </c>
      <c r="G861" s="31" t="n">
        <v>155426</v>
      </c>
      <c r="H861" s="31" t="n">
        <v>17</v>
      </c>
      <c r="I861" s="32" t="n">
        <v>25.01000023</v>
      </c>
      <c r="J861" s="31" t="n">
        <v>3</v>
      </c>
      <c r="K861" s="31" t="n">
        <v>0</v>
      </c>
    </row>
    <row r="862" customFormat="false" ht="15" hidden="false" customHeight="false" outlineLevel="0" collapsed="false">
      <c r="A862" s="31" t="n">
        <v>1314324</v>
      </c>
      <c r="B862" s="31" t="n">
        <v>1178</v>
      </c>
      <c r="C862" s="31" t="n">
        <v>179891</v>
      </c>
      <c r="D862" s="31" t="s">
        <v>58</v>
      </c>
      <c r="E862" s="31" t="s">
        <v>64</v>
      </c>
      <c r="F862" s="31" t="n">
        <v>113</v>
      </c>
      <c r="G862" s="31" t="n">
        <v>97540</v>
      </c>
      <c r="H862" s="31" t="n">
        <v>8</v>
      </c>
      <c r="I862" s="32" t="n">
        <v>11.5199995</v>
      </c>
      <c r="J862" s="31" t="n">
        <v>2</v>
      </c>
      <c r="K862" s="31" t="n">
        <v>1</v>
      </c>
    </row>
    <row r="863" customFormat="false" ht="15" hidden="false" customHeight="false" outlineLevel="0" collapsed="false">
      <c r="A863" s="31" t="n">
        <v>1314325</v>
      </c>
      <c r="B863" s="31" t="n">
        <v>1178</v>
      </c>
      <c r="C863" s="31" t="n">
        <v>179892</v>
      </c>
      <c r="D863" s="31" t="s">
        <v>58</v>
      </c>
      <c r="E863" s="31" t="s">
        <v>64</v>
      </c>
      <c r="F863" s="31" t="n">
        <v>114</v>
      </c>
      <c r="G863" s="31" t="n">
        <v>61441</v>
      </c>
      <c r="H863" s="31" t="n">
        <v>5</v>
      </c>
      <c r="I863" s="32" t="n">
        <v>7.700000048</v>
      </c>
      <c r="J863" s="31" t="n">
        <v>1</v>
      </c>
      <c r="K863" s="31" t="n">
        <v>0</v>
      </c>
    </row>
    <row r="864" customFormat="false" ht="15" hidden="false" customHeight="false" outlineLevel="0" collapsed="false">
      <c r="A864" s="31" t="n">
        <v>1314326</v>
      </c>
      <c r="B864" s="31" t="n">
        <v>1178</v>
      </c>
      <c r="C864" s="31" t="n">
        <v>179893</v>
      </c>
      <c r="D864" s="31" t="s">
        <v>59</v>
      </c>
      <c r="E864" s="31" t="s">
        <v>64</v>
      </c>
      <c r="F864" s="31" t="n">
        <v>100</v>
      </c>
      <c r="G864" s="31" t="n">
        <v>76703</v>
      </c>
      <c r="H864" s="31" t="n">
        <v>9</v>
      </c>
      <c r="I864" s="32" t="n">
        <v>12.14999962</v>
      </c>
      <c r="J864" s="31" t="n">
        <v>3</v>
      </c>
      <c r="K864" s="31" t="n">
        <v>1</v>
      </c>
    </row>
    <row r="865" customFormat="false" ht="15" hidden="false" customHeight="false" outlineLevel="0" collapsed="false">
      <c r="A865" s="31" t="n">
        <v>1314327</v>
      </c>
      <c r="B865" s="31" t="n">
        <v>1178</v>
      </c>
      <c r="C865" s="31" t="n">
        <v>179894</v>
      </c>
      <c r="D865" s="31" t="s">
        <v>59</v>
      </c>
      <c r="E865" s="31" t="s">
        <v>64</v>
      </c>
      <c r="F865" s="31" t="n">
        <v>101</v>
      </c>
      <c r="G865" s="31" t="n">
        <v>68619</v>
      </c>
      <c r="H865" s="31" t="n">
        <v>10</v>
      </c>
      <c r="I865" s="32" t="n">
        <v>14.96000034</v>
      </c>
      <c r="J865" s="31" t="n">
        <v>1</v>
      </c>
      <c r="K865" s="31" t="n">
        <v>0</v>
      </c>
    </row>
    <row r="866" customFormat="false" ht="15" hidden="false" customHeight="false" outlineLevel="0" collapsed="false">
      <c r="A866" s="31" t="n">
        <v>1314330</v>
      </c>
      <c r="B866" s="31" t="n">
        <v>1178</v>
      </c>
      <c r="C866" s="31" t="n">
        <v>179897</v>
      </c>
      <c r="D866" s="31" t="s">
        <v>59</v>
      </c>
      <c r="E866" s="31" t="s">
        <v>64</v>
      </c>
      <c r="F866" s="31" t="n">
        <v>104</v>
      </c>
      <c r="G866" s="31" t="n">
        <v>17559</v>
      </c>
      <c r="H866" s="31" t="n">
        <v>1</v>
      </c>
      <c r="I866" s="32" t="n">
        <v>1.49000001</v>
      </c>
      <c r="J866" s="31" t="n">
        <v>1</v>
      </c>
      <c r="K866" s="31" t="n">
        <v>1</v>
      </c>
    </row>
    <row r="867" customFormat="false" ht="15" hidden="false" customHeight="false" outlineLevel="0" collapsed="false">
      <c r="A867" s="31" t="n">
        <v>1314331</v>
      </c>
      <c r="B867" s="31" t="n">
        <v>1178</v>
      </c>
      <c r="C867" s="31" t="n">
        <v>179898</v>
      </c>
      <c r="D867" s="31" t="s">
        <v>59</v>
      </c>
      <c r="E867" s="31" t="s">
        <v>64</v>
      </c>
      <c r="F867" s="31" t="n">
        <v>105</v>
      </c>
      <c r="G867" s="31" t="n">
        <v>137879</v>
      </c>
      <c r="H867" s="31" t="n">
        <v>19</v>
      </c>
      <c r="I867" s="32" t="n">
        <v>28.47000003</v>
      </c>
      <c r="J867" s="31" t="n">
        <v>2</v>
      </c>
      <c r="K867" s="31" t="n">
        <v>0</v>
      </c>
    </row>
    <row r="868" customFormat="false" ht="15" hidden="false" customHeight="false" outlineLevel="0" collapsed="false">
      <c r="A868" s="31" t="n">
        <v>1314332</v>
      </c>
      <c r="B868" s="31" t="n">
        <v>1178</v>
      </c>
      <c r="C868" s="31" t="n">
        <v>179899</v>
      </c>
      <c r="D868" s="31" t="s">
        <v>59</v>
      </c>
      <c r="E868" s="31" t="s">
        <v>64</v>
      </c>
      <c r="F868" s="31" t="n">
        <v>106</v>
      </c>
      <c r="G868" s="31" t="n">
        <v>67710</v>
      </c>
      <c r="H868" s="31" t="n">
        <v>10</v>
      </c>
      <c r="I868" s="32" t="n">
        <v>15.14999998</v>
      </c>
      <c r="J868" s="31" t="n">
        <v>1</v>
      </c>
      <c r="K868" s="31" t="n">
        <v>0</v>
      </c>
    </row>
    <row r="869" customFormat="false" ht="15" hidden="false" customHeight="false" outlineLevel="0" collapsed="false">
      <c r="A869" s="31" t="n">
        <v>1314333</v>
      </c>
      <c r="B869" s="31" t="n">
        <v>1178</v>
      </c>
      <c r="C869" s="31" t="n">
        <v>179900</v>
      </c>
      <c r="D869" s="31" t="s">
        <v>59</v>
      </c>
      <c r="E869" s="31" t="s">
        <v>64</v>
      </c>
      <c r="F869" s="31" t="n">
        <v>107</v>
      </c>
      <c r="G869" s="31" t="n">
        <v>348180</v>
      </c>
      <c r="H869" s="31" t="n">
        <v>41</v>
      </c>
      <c r="I869" s="32" t="n">
        <v>60.22999907</v>
      </c>
      <c r="J869" s="31" t="n">
        <v>3</v>
      </c>
      <c r="K869" s="31" t="n">
        <v>1</v>
      </c>
    </row>
    <row r="870" customFormat="false" ht="15" hidden="false" customHeight="false" outlineLevel="0" collapsed="false">
      <c r="A870" s="31" t="n">
        <v>1314334</v>
      </c>
      <c r="B870" s="31" t="n">
        <v>1178</v>
      </c>
      <c r="C870" s="31" t="n">
        <v>179901</v>
      </c>
      <c r="D870" s="31" t="s">
        <v>59</v>
      </c>
      <c r="E870" s="31" t="s">
        <v>64</v>
      </c>
      <c r="F870" s="31" t="n">
        <v>108</v>
      </c>
      <c r="G870" s="31" t="n">
        <v>146246</v>
      </c>
      <c r="H870" s="31" t="n">
        <v>18</v>
      </c>
      <c r="I870" s="32" t="n">
        <v>28.71999955</v>
      </c>
      <c r="J870" s="31" t="n">
        <v>3</v>
      </c>
      <c r="K870" s="31" t="n">
        <v>1</v>
      </c>
    </row>
    <row r="871" customFormat="false" ht="15" hidden="false" customHeight="false" outlineLevel="0" collapsed="false">
      <c r="A871" s="31" t="n">
        <v>1314336</v>
      </c>
      <c r="B871" s="31" t="n">
        <v>1178</v>
      </c>
      <c r="C871" s="31" t="n">
        <v>179903</v>
      </c>
      <c r="D871" s="31" t="s">
        <v>59</v>
      </c>
      <c r="E871" s="31" t="s">
        <v>64</v>
      </c>
      <c r="F871" s="31" t="n">
        <v>110</v>
      </c>
      <c r="G871" s="31" t="n">
        <v>187236</v>
      </c>
      <c r="H871" s="31" t="n">
        <v>24</v>
      </c>
      <c r="I871" s="32" t="n">
        <v>34.86999965</v>
      </c>
      <c r="J871" s="31" t="n">
        <v>2</v>
      </c>
      <c r="K871" s="31" t="n">
        <v>2</v>
      </c>
    </row>
    <row r="872" customFormat="false" ht="15" hidden="false" customHeight="false" outlineLevel="0" collapsed="false">
      <c r="A872" s="31" t="n">
        <v>1314337</v>
      </c>
      <c r="B872" s="31" t="n">
        <v>1178</v>
      </c>
      <c r="C872" s="31" t="n">
        <v>179904</v>
      </c>
      <c r="D872" s="31" t="s">
        <v>59</v>
      </c>
      <c r="E872" s="31" t="s">
        <v>64</v>
      </c>
      <c r="F872" s="31" t="n">
        <v>111</v>
      </c>
      <c r="G872" s="31" t="n">
        <v>72157</v>
      </c>
      <c r="H872" s="31" t="n">
        <v>9</v>
      </c>
      <c r="I872" s="32" t="n">
        <v>13.50000036</v>
      </c>
      <c r="J872" s="31" t="n">
        <v>1</v>
      </c>
      <c r="K872" s="31" t="n">
        <v>1</v>
      </c>
    </row>
    <row r="873" customFormat="false" ht="15" hidden="false" customHeight="false" outlineLevel="0" collapsed="false">
      <c r="A873" s="31" t="n">
        <v>1314338</v>
      </c>
      <c r="B873" s="31" t="n">
        <v>1178</v>
      </c>
      <c r="C873" s="31" t="n">
        <v>179905</v>
      </c>
      <c r="D873" s="31" t="s">
        <v>59</v>
      </c>
      <c r="E873" s="31" t="s">
        <v>64</v>
      </c>
      <c r="F873" s="31" t="n">
        <v>112</v>
      </c>
      <c r="G873" s="31" t="n">
        <v>91180</v>
      </c>
      <c r="H873" s="31" t="n">
        <v>10</v>
      </c>
      <c r="I873" s="32" t="n">
        <v>13.55999994</v>
      </c>
      <c r="J873" s="31" t="n">
        <v>1</v>
      </c>
      <c r="K873" s="31" t="n">
        <v>0</v>
      </c>
    </row>
    <row r="874" customFormat="false" ht="15" hidden="false" customHeight="false" outlineLevel="0" collapsed="false">
      <c r="A874" s="31" t="n">
        <v>1314339</v>
      </c>
      <c r="B874" s="31" t="n">
        <v>1178</v>
      </c>
      <c r="C874" s="31" t="n">
        <v>179906</v>
      </c>
      <c r="D874" s="31" t="s">
        <v>59</v>
      </c>
      <c r="E874" s="31" t="s">
        <v>64</v>
      </c>
      <c r="F874" s="31" t="n">
        <v>113</v>
      </c>
      <c r="G874" s="31" t="n">
        <v>86293</v>
      </c>
      <c r="H874" s="31" t="n">
        <v>6</v>
      </c>
      <c r="I874" s="32" t="n">
        <v>9.259999871</v>
      </c>
      <c r="J874" s="31" t="n">
        <v>1</v>
      </c>
      <c r="K874" s="31" t="n">
        <v>1</v>
      </c>
    </row>
    <row r="875" customFormat="false" ht="15" hidden="false" customHeight="false" outlineLevel="0" collapsed="false">
      <c r="A875" s="31" t="n">
        <v>1314341</v>
      </c>
      <c r="B875" s="31" t="n">
        <v>1178</v>
      </c>
      <c r="C875" s="31" t="n">
        <v>179908</v>
      </c>
      <c r="D875" s="31" t="s">
        <v>60</v>
      </c>
      <c r="E875" s="31" t="s">
        <v>64</v>
      </c>
      <c r="F875" s="31" t="n">
        <v>100</v>
      </c>
      <c r="G875" s="31" t="n">
        <v>101410</v>
      </c>
      <c r="H875" s="31" t="n">
        <v>12</v>
      </c>
      <c r="I875" s="32" t="n">
        <v>17.94000006</v>
      </c>
      <c r="J875" s="31" t="n">
        <v>4</v>
      </c>
      <c r="K875" s="31" t="n">
        <v>0</v>
      </c>
    </row>
    <row r="876" customFormat="false" ht="15" hidden="false" customHeight="false" outlineLevel="0" collapsed="false">
      <c r="A876" s="31" t="n">
        <v>1314343</v>
      </c>
      <c r="B876" s="31" t="n">
        <v>1178</v>
      </c>
      <c r="C876" s="31" t="n">
        <v>179910</v>
      </c>
      <c r="D876" s="31" t="s">
        <v>60</v>
      </c>
      <c r="E876" s="31" t="s">
        <v>64</v>
      </c>
      <c r="F876" s="31" t="n">
        <v>102</v>
      </c>
      <c r="G876" s="31" t="n">
        <v>134245</v>
      </c>
      <c r="H876" s="31" t="n">
        <v>18</v>
      </c>
      <c r="I876" s="32" t="n">
        <v>25.75000024</v>
      </c>
      <c r="J876" s="31" t="n">
        <v>2</v>
      </c>
      <c r="K876" s="31" t="n">
        <v>1</v>
      </c>
    </row>
    <row r="877" customFormat="false" ht="15" hidden="false" customHeight="false" outlineLevel="0" collapsed="false">
      <c r="A877" s="31" t="n">
        <v>1314345</v>
      </c>
      <c r="B877" s="31" t="n">
        <v>1178</v>
      </c>
      <c r="C877" s="31" t="n">
        <v>179912</v>
      </c>
      <c r="D877" s="31" t="s">
        <v>60</v>
      </c>
      <c r="E877" s="31" t="s">
        <v>64</v>
      </c>
      <c r="F877" s="31" t="n">
        <v>104</v>
      </c>
      <c r="G877" s="31" t="n">
        <v>125650</v>
      </c>
      <c r="H877" s="31" t="n">
        <v>20</v>
      </c>
      <c r="I877" s="32" t="n">
        <v>30.08000076</v>
      </c>
      <c r="J877" s="31" t="n">
        <v>4</v>
      </c>
      <c r="K877" s="31" t="n">
        <v>0</v>
      </c>
    </row>
    <row r="878" customFormat="false" ht="15" hidden="false" customHeight="false" outlineLevel="0" collapsed="false">
      <c r="A878" s="31" t="n">
        <v>1314346</v>
      </c>
      <c r="B878" s="31" t="n">
        <v>1178</v>
      </c>
      <c r="C878" s="31" t="n">
        <v>179913</v>
      </c>
      <c r="D878" s="31" t="s">
        <v>60</v>
      </c>
      <c r="E878" s="31" t="s">
        <v>64</v>
      </c>
      <c r="F878" s="31" t="n">
        <v>105</v>
      </c>
      <c r="G878" s="31" t="n">
        <v>50406</v>
      </c>
      <c r="H878" s="31" t="n">
        <v>5</v>
      </c>
      <c r="I878" s="32" t="n">
        <v>7.26000011</v>
      </c>
      <c r="J878" s="31" t="n">
        <v>1</v>
      </c>
      <c r="K878" s="31" t="n">
        <v>1</v>
      </c>
    </row>
    <row r="879" customFormat="false" ht="15" hidden="false" customHeight="false" outlineLevel="0" collapsed="false">
      <c r="A879" s="31" t="n">
        <v>1314348</v>
      </c>
      <c r="B879" s="31" t="n">
        <v>1178</v>
      </c>
      <c r="C879" s="31" t="n">
        <v>179915</v>
      </c>
      <c r="D879" s="31" t="s">
        <v>60</v>
      </c>
      <c r="E879" s="31" t="s">
        <v>64</v>
      </c>
      <c r="F879" s="31" t="n">
        <v>107</v>
      </c>
      <c r="G879" s="31" t="n">
        <v>121769</v>
      </c>
      <c r="H879" s="31" t="n">
        <v>13</v>
      </c>
      <c r="I879" s="32" t="n">
        <v>18.41999996</v>
      </c>
      <c r="J879" s="31" t="n">
        <v>2</v>
      </c>
      <c r="K879" s="31" t="n">
        <v>1</v>
      </c>
    </row>
    <row r="880" customFormat="false" ht="15" hidden="false" customHeight="false" outlineLevel="0" collapsed="false">
      <c r="A880" s="31" t="n">
        <v>1314349</v>
      </c>
      <c r="B880" s="31" t="n">
        <v>1178</v>
      </c>
      <c r="C880" s="31" t="n">
        <v>179916</v>
      </c>
      <c r="D880" s="31" t="s">
        <v>60</v>
      </c>
      <c r="E880" s="31" t="s">
        <v>64</v>
      </c>
      <c r="F880" s="31" t="n">
        <v>108</v>
      </c>
      <c r="G880" s="31" t="n">
        <v>267106</v>
      </c>
      <c r="H880" s="31" t="n">
        <v>34</v>
      </c>
      <c r="I880" s="32" t="n">
        <v>50.5</v>
      </c>
      <c r="J880" s="31" t="n">
        <v>4</v>
      </c>
      <c r="K880" s="31" t="n">
        <v>1</v>
      </c>
    </row>
    <row r="881" customFormat="false" ht="15" hidden="false" customHeight="false" outlineLevel="0" collapsed="false">
      <c r="A881" s="31" t="n">
        <v>1314350</v>
      </c>
      <c r="B881" s="31" t="n">
        <v>1178</v>
      </c>
      <c r="C881" s="31" t="n">
        <v>179917</v>
      </c>
      <c r="D881" s="31" t="s">
        <v>60</v>
      </c>
      <c r="E881" s="31" t="s">
        <v>64</v>
      </c>
      <c r="F881" s="31" t="n">
        <v>109</v>
      </c>
      <c r="G881" s="31" t="n">
        <v>365539</v>
      </c>
      <c r="H881" s="31" t="n">
        <v>57</v>
      </c>
      <c r="I881" s="32" t="n">
        <v>82.13999915</v>
      </c>
      <c r="J881" s="31" t="n">
        <v>5</v>
      </c>
      <c r="K881" s="31" t="n">
        <v>2</v>
      </c>
    </row>
    <row r="882" customFormat="false" ht="15" hidden="false" customHeight="false" outlineLevel="0" collapsed="false">
      <c r="A882" s="31" t="n">
        <v>1314351</v>
      </c>
      <c r="B882" s="31" t="n">
        <v>1178</v>
      </c>
      <c r="C882" s="31" t="n">
        <v>179918</v>
      </c>
      <c r="D882" s="31" t="s">
        <v>60</v>
      </c>
      <c r="E882" s="31" t="s">
        <v>64</v>
      </c>
      <c r="F882" s="31" t="n">
        <v>110</v>
      </c>
      <c r="G882" s="31" t="n">
        <v>188758</v>
      </c>
      <c r="H882" s="31" t="n">
        <v>25</v>
      </c>
      <c r="I882" s="32" t="n">
        <v>36.60000038</v>
      </c>
      <c r="J882" s="31" t="n">
        <v>2</v>
      </c>
      <c r="K882" s="31" t="n">
        <v>1</v>
      </c>
    </row>
    <row r="883" customFormat="false" ht="15" hidden="false" customHeight="false" outlineLevel="0" collapsed="false">
      <c r="A883" s="31" t="n">
        <v>1314353</v>
      </c>
      <c r="B883" s="31" t="n">
        <v>1178</v>
      </c>
      <c r="C883" s="31" t="n">
        <v>179920</v>
      </c>
      <c r="D883" s="31" t="s">
        <v>60</v>
      </c>
      <c r="E883" s="31" t="s">
        <v>64</v>
      </c>
      <c r="F883" s="31" t="n">
        <v>112</v>
      </c>
      <c r="G883" s="31" t="n">
        <v>108426</v>
      </c>
      <c r="H883" s="31" t="n">
        <v>13</v>
      </c>
      <c r="I883" s="32" t="n">
        <v>19.58000016</v>
      </c>
      <c r="J883" s="31" t="n">
        <v>1</v>
      </c>
      <c r="K883" s="31" t="n">
        <v>0</v>
      </c>
    </row>
    <row r="884" customFormat="false" ht="15" hidden="false" customHeight="false" outlineLevel="0" collapsed="false">
      <c r="A884" s="31" t="n">
        <v>1314354</v>
      </c>
      <c r="B884" s="31" t="n">
        <v>1178</v>
      </c>
      <c r="C884" s="31" t="n">
        <v>179921</v>
      </c>
      <c r="D884" s="31" t="s">
        <v>60</v>
      </c>
      <c r="E884" s="31" t="s">
        <v>64</v>
      </c>
      <c r="F884" s="31" t="n">
        <v>113</v>
      </c>
      <c r="G884" s="31" t="n">
        <v>138525</v>
      </c>
      <c r="H884" s="31" t="n">
        <v>9</v>
      </c>
      <c r="I884" s="32" t="n">
        <v>13.65000045</v>
      </c>
      <c r="J884" s="31" t="n">
        <v>3</v>
      </c>
      <c r="K884" s="31" t="n">
        <v>0</v>
      </c>
    </row>
    <row r="885" customFormat="false" ht="15" hidden="false" customHeight="false" outlineLevel="0" collapsed="false">
      <c r="A885" s="31" t="n">
        <v>1314355</v>
      </c>
      <c r="B885" s="31" t="n">
        <v>1178</v>
      </c>
      <c r="C885" s="31" t="n">
        <v>179922</v>
      </c>
      <c r="D885" s="31" t="s">
        <v>60</v>
      </c>
      <c r="E885" s="31" t="s">
        <v>64</v>
      </c>
      <c r="F885" s="31" t="n">
        <v>114</v>
      </c>
      <c r="G885" s="31" t="n">
        <v>150858</v>
      </c>
      <c r="H885" s="31" t="n">
        <v>21</v>
      </c>
      <c r="I885" s="32" t="n">
        <v>30.26000011</v>
      </c>
      <c r="J885" s="31" t="n">
        <v>1</v>
      </c>
      <c r="K885" s="31" t="n">
        <v>0</v>
      </c>
    </row>
    <row r="886" customFormat="false" ht="15" hidden="false" customHeight="false" outlineLevel="0" collapsed="false">
      <c r="A886" s="31" t="n">
        <v>1314357</v>
      </c>
      <c r="B886" s="31" t="n">
        <v>1178</v>
      </c>
      <c r="C886" s="31" t="n">
        <v>179924</v>
      </c>
      <c r="D886" s="31" t="s">
        <v>57</v>
      </c>
      <c r="E886" s="31" t="s">
        <v>63</v>
      </c>
      <c r="F886" s="31" t="n">
        <v>101</v>
      </c>
      <c r="G886" s="31" t="n">
        <v>524306</v>
      </c>
      <c r="H886" s="31" t="n">
        <v>81</v>
      </c>
      <c r="I886" s="32" t="n">
        <v>113.6800029</v>
      </c>
      <c r="J886" s="31" t="n">
        <v>10</v>
      </c>
      <c r="K886" s="31" t="n">
        <v>4</v>
      </c>
    </row>
    <row r="887" customFormat="false" ht="15" hidden="false" customHeight="false" outlineLevel="0" collapsed="false">
      <c r="A887" s="31" t="n">
        <v>1314358</v>
      </c>
      <c r="B887" s="31" t="n">
        <v>1178</v>
      </c>
      <c r="C887" s="31" t="n">
        <v>179925</v>
      </c>
      <c r="D887" s="31" t="s">
        <v>57</v>
      </c>
      <c r="E887" s="31" t="s">
        <v>63</v>
      </c>
      <c r="F887" s="31" t="n">
        <v>102</v>
      </c>
      <c r="G887" s="31" t="n">
        <v>104496</v>
      </c>
      <c r="H887" s="31" t="n">
        <v>9</v>
      </c>
      <c r="I887" s="32" t="n">
        <v>11.42999983</v>
      </c>
      <c r="J887" s="31" t="n">
        <v>3</v>
      </c>
      <c r="K887" s="31" t="n">
        <v>2</v>
      </c>
    </row>
    <row r="888" customFormat="false" ht="15" hidden="false" customHeight="false" outlineLevel="0" collapsed="false">
      <c r="A888" s="31" t="n">
        <v>1314359</v>
      </c>
      <c r="B888" s="31" t="n">
        <v>1178</v>
      </c>
      <c r="C888" s="31" t="n">
        <v>179926</v>
      </c>
      <c r="D888" s="31" t="s">
        <v>57</v>
      </c>
      <c r="E888" s="31" t="s">
        <v>63</v>
      </c>
      <c r="F888" s="31" t="n">
        <v>103</v>
      </c>
      <c r="G888" s="31" t="n">
        <v>452519</v>
      </c>
      <c r="H888" s="31" t="n">
        <v>68</v>
      </c>
      <c r="I888" s="32" t="n">
        <v>99.52000237</v>
      </c>
      <c r="J888" s="31" t="n">
        <v>7</v>
      </c>
      <c r="K888" s="31" t="n">
        <v>2</v>
      </c>
    </row>
    <row r="889" customFormat="false" ht="15" hidden="false" customHeight="false" outlineLevel="0" collapsed="false">
      <c r="A889" s="31" t="n">
        <v>1314360</v>
      </c>
      <c r="B889" s="31" t="n">
        <v>1178</v>
      </c>
      <c r="C889" s="31" t="n">
        <v>179927</v>
      </c>
      <c r="D889" s="31" t="s">
        <v>57</v>
      </c>
      <c r="E889" s="31" t="s">
        <v>63</v>
      </c>
      <c r="F889" s="31" t="n">
        <v>104</v>
      </c>
      <c r="G889" s="31" t="n">
        <v>442919</v>
      </c>
      <c r="H889" s="31" t="n">
        <v>76</v>
      </c>
      <c r="I889" s="32" t="n">
        <v>110.7800021</v>
      </c>
      <c r="J889" s="31" t="n">
        <v>21</v>
      </c>
      <c r="K889" s="31" t="n">
        <v>2</v>
      </c>
    </row>
    <row r="890" customFormat="false" ht="15" hidden="false" customHeight="false" outlineLevel="0" collapsed="false">
      <c r="A890" s="31" t="n">
        <v>1314361</v>
      </c>
      <c r="B890" s="31" t="n">
        <v>1178</v>
      </c>
      <c r="C890" s="31" t="n">
        <v>179928</v>
      </c>
      <c r="D890" s="31" t="s">
        <v>57</v>
      </c>
      <c r="E890" s="31" t="s">
        <v>63</v>
      </c>
      <c r="F890" s="31" t="n">
        <v>105</v>
      </c>
      <c r="G890" s="31" t="n">
        <v>596831</v>
      </c>
      <c r="H890" s="31" t="n">
        <v>86</v>
      </c>
      <c r="I890" s="32" t="n">
        <v>120.8799992</v>
      </c>
      <c r="J890" s="31" t="n">
        <v>11</v>
      </c>
      <c r="K890" s="31" t="n">
        <v>0</v>
      </c>
    </row>
    <row r="891" customFormat="false" ht="15" hidden="false" customHeight="false" outlineLevel="0" collapsed="false">
      <c r="A891" s="31" t="n">
        <v>1314362</v>
      </c>
      <c r="B891" s="31" t="n">
        <v>1178</v>
      </c>
      <c r="C891" s="31" t="n">
        <v>179929</v>
      </c>
      <c r="D891" s="31" t="s">
        <v>57</v>
      </c>
      <c r="E891" s="31" t="s">
        <v>63</v>
      </c>
      <c r="F891" s="31" t="n">
        <v>106</v>
      </c>
      <c r="G891" s="31" t="n">
        <v>173912</v>
      </c>
      <c r="H891" s="31" t="n">
        <v>26</v>
      </c>
      <c r="I891" s="32" t="n">
        <v>35.54000032</v>
      </c>
      <c r="J891" s="31" t="n">
        <v>2</v>
      </c>
      <c r="K891" s="31" t="n">
        <v>1</v>
      </c>
    </row>
    <row r="892" customFormat="false" ht="15" hidden="false" customHeight="false" outlineLevel="0" collapsed="false">
      <c r="A892" s="31" t="n">
        <v>1314363</v>
      </c>
      <c r="B892" s="31" t="n">
        <v>1178</v>
      </c>
      <c r="C892" s="31" t="n">
        <v>179930</v>
      </c>
      <c r="D892" s="31" t="s">
        <v>57</v>
      </c>
      <c r="E892" s="31" t="s">
        <v>63</v>
      </c>
      <c r="F892" s="31" t="n">
        <v>107</v>
      </c>
      <c r="G892" s="31" t="n">
        <v>780967</v>
      </c>
      <c r="H892" s="31" t="n">
        <v>86</v>
      </c>
      <c r="I892" s="32" t="n">
        <v>119.6400018</v>
      </c>
      <c r="J892" s="31" t="n">
        <v>20</v>
      </c>
      <c r="K892" s="31" t="n">
        <v>4</v>
      </c>
    </row>
    <row r="893" customFormat="false" ht="15" hidden="false" customHeight="false" outlineLevel="0" collapsed="false">
      <c r="A893" s="31" t="n">
        <v>1314364</v>
      </c>
      <c r="B893" s="31" t="n">
        <v>1178</v>
      </c>
      <c r="C893" s="31" t="n">
        <v>179931</v>
      </c>
      <c r="D893" s="31" t="s">
        <v>57</v>
      </c>
      <c r="E893" s="31" t="s">
        <v>63</v>
      </c>
      <c r="F893" s="31" t="n">
        <v>108</v>
      </c>
      <c r="G893" s="31" t="n">
        <v>132124</v>
      </c>
      <c r="H893" s="31" t="n">
        <v>8</v>
      </c>
      <c r="I893" s="32" t="n">
        <v>11.18999994</v>
      </c>
      <c r="J893" s="31" t="n">
        <v>4</v>
      </c>
      <c r="K893" s="31" t="n">
        <v>0</v>
      </c>
    </row>
    <row r="894" customFormat="false" ht="15" hidden="false" customHeight="false" outlineLevel="0" collapsed="false">
      <c r="A894" s="31" t="n">
        <v>1314365</v>
      </c>
      <c r="B894" s="31" t="n">
        <v>1178</v>
      </c>
      <c r="C894" s="31" t="n">
        <v>179932</v>
      </c>
      <c r="D894" s="31" t="s">
        <v>57</v>
      </c>
      <c r="E894" s="31" t="s">
        <v>63</v>
      </c>
      <c r="F894" s="31" t="n">
        <v>109</v>
      </c>
      <c r="G894" s="31" t="n">
        <v>623137</v>
      </c>
      <c r="H894" s="31" t="n">
        <v>100</v>
      </c>
      <c r="I894" s="32" t="n">
        <v>138.9200006</v>
      </c>
      <c r="J894" s="31" t="n">
        <v>12</v>
      </c>
      <c r="K894" s="31" t="n">
        <v>1</v>
      </c>
    </row>
    <row r="895" customFormat="false" ht="15" hidden="false" customHeight="false" outlineLevel="0" collapsed="false">
      <c r="A895" s="31" t="n">
        <v>1314366</v>
      </c>
      <c r="B895" s="31" t="n">
        <v>1178</v>
      </c>
      <c r="C895" s="31" t="n">
        <v>179933</v>
      </c>
      <c r="D895" s="31" t="s">
        <v>57</v>
      </c>
      <c r="E895" s="31" t="s">
        <v>63</v>
      </c>
      <c r="F895" s="31" t="n">
        <v>110</v>
      </c>
      <c r="G895" s="31" t="n">
        <v>99020</v>
      </c>
      <c r="H895" s="31" t="n">
        <v>10</v>
      </c>
      <c r="I895" s="32" t="n">
        <v>14.48000044</v>
      </c>
      <c r="J895" s="31" t="n">
        <v>4</v>
      </c>
      <c r="K895" s="31" t="n">
        <v>1</v>
      </c>
    </row>
    <row r="896" customFormat="false" ht="15" hidden="false" customHeight="false" outlineLevel="0" collapsed="false">
      <c r="A896" s="31" t="n">
        <v>1314367</v>
      </c>
      <c r="B896" s="31" t="n">
        <v>1178</v>
      </c>
      <c r="C896" s="31" t="n">
        <v>179934</v>
      </c>
      <c r="D896" s="31" t="s">
        <v>57</v>
      </c>
      <c r="E896" s="31" t="s">
        <v>63</v>
      </c>
      <c r="F896" s="31" t="n">
        <v>111</v>
      </c>
      <c r="G896" s="31" t="n">
        <v>665817</v>
      </c>
      <c r="H896" s="31" t="n">
        <v>117</v>
      </c>
      <c r="I896" s="32" t="n">
        <v>163.8000002</v>
      </c>
      <c r="J896" s="31" t="n">
        <v>23</v>
      </c>
      <c r="K896" s="31" t="n">
        <v>9</v>
      </c>
    </row>
    <row r="897" customFormat="false" ht="15" hidden="false" customHeight="false" outlineLevel="0" collapsed="false">
      <c r="A897" s="31" t="n">
        <v>1314368</v>
      </c>
      <c r="B897" s="31" t="n">
        <v>1178</v>
      </c>
      <c r="C897" s="31" t="n">
        <v>179935</v>
      </c>
      <c r="D897" s="31" t="s">
        <v>57</v>
      </c>
      <c r="E897" s="31" t="s">
        <v>63</v>
      </c>
      <c r="F897" s="31" t="n">
        <v>112</v>
      </c>
      <c r="G897" s="31" t="n">
        <v>699232</v>
      </c>
      <c r="H897" s="31" t="n">
        <v>80</v>
      </c>
      <c r="I897" s="32" t="n">
        <v>111.9899995</v>
      </c>
      <c r="J897" s="31" t="n">
        <v>12</v>
      </c>
      <c r="K897" s="31" t="n">
        <v>3</v>
      </c>
    </row>
    <row r="898" customFormat="false" ht="15" hidden="false" customHeight="false" outlineLevel="0" collapsed="false">
      <c r="A898" s="31" t="n">
        <v>1314371</v>
      </c>
      <c r="B898" s="31" t="n">
        <v>1178</v>
      </c>
      <c r="C898" s="31" t="n">
        <v>179938</v>
      </c>
      <c r="D898" s="31" t="s">
        <v>58</v>
      </c>
      <c r="E898" s="31" t="s">
        <v>63</v>
      </c>
      <c r="F898" s="31" t="n">
        <v>100</v>
      </c>
      <c r="G898" s="31" t="n">
        <v>72982</v>
      </c>
      <c r="H898" s="31" t="n">
        <v>11</v>
      </c>
      <c r="I898" s="32" t="n">
        <v>15.04999995</v>
      </c>
      <c r="J898" s="31" t="n">
        <v>1</v>
      </c>
      <c r="K898" s="31" t="n">
        <v>0</v>
      </c>
    </row>
    <row r="899" customFormat="false" ht="15" hidden="false" customHeight="false" outlineLevel="0" collapsed="false">
      <c r="A899" s="31" t="n">
        <v>1314372</v>
      </c>
      <c r="B899" s="31" t="n">
        <v>1178</v>
      </c>
      <c r="C899" s="31" t="n">
        <v>179939</v>
      </c>
      <c r="D899" s="31" t="s">
        <v>58</v>
      </c>
      <c r="E899" s="31" t="s">
        <v>63</v>
      </c>
      <c r="F899" s="31" t="n">
        <v>101</v>
      </c>
      <c r="G899" s="31" t="n">
        <v>975884</v>
      </c>
      <c r="H899" s="31" t="n">
        <v>167</v>
      </c>
      <c r="I899" s="32" t="n">
        <v>237.3199975</v>
      </c>
      <c r="J899" s="31" t="n">
        <v>14</v>
      </c>
      <c r="K899" s="31" t="n">
        <v>3</v>
      </c>
    </row>
    <row r="900" customFormat="false" ht="15" hidden="false" customHeight="false" outlineLevel="0" collapsed="false">
      <c r="A900" s="31" t="n">
        <v>1314373</v>
      </c>
      <c r="B900" s="31" t="n">
        <v>1178</v>
      </c>
      <c r="C900" s="31" t="n">
        <v>179940</v>
      </c>
      <c r="D900" s="31" t="s">
        <v>58</v>
      </c>
      <c r="E900" s="31" t="s">
        <v>63</v>
      </c>
      <c r="F900" s="31" t="n">
        <v>102</v>
      </c>
      <c r="G900" s="31" t="n">
        <v>245607</v>
      </c>
      <c r="H900" s="31" t="n">
        <v>33</v>
      </c>
      <c r="I900" s="32" t="n">
        <v>47.87999952</v>
      </c>
      <c r="J900" s="31" t="n">
        <v>3</v>
      </c>
      <c r="K900" s="31" t="n">
        <v>1</v>
      </c>
    </row>
    <row r="901" customFormat="false" ht="15" hidden="false" customHeight="false" outlineLevel="0" collapsed="false">
      <c r="A901" s="31" t="n">
        <v>1314377</v>
      </c>
      <c r="B901" s="31" t="n">
        <v>1178</v>
      </c>
      <c r="C901" s="31" t="n">
        <v>179944</v>
      </c>
      <c r="D901" s="31" t="s">
        <v>58</v>
      </c>
      <c r="E901" s="31" t="s">
        <v>63</v>
      </c>
      <c r="F901" s="31" t="n">
        <v>106</v>
      </c>
      <c r="G901" s="31" t="n">
        <v>485369</v>
      </c>
      <c r="H901" s="31" t="n">
        <v>114</v>
      </c>
      <c r="I901" s="32" t="n">
        <v>164.6400015</v>
      </c>
      <c r="J901" s="31" t="n">
        <v>3</v>
      </c>
      <c r="K901" s="31" t="n">
        <v>0</v>
      </c>
    </row>
    <row r="902" customFormat="false" ht="15" hidden="false" customHeight="false" outlineLevel="0" collapsed="false">
      <c r="A902" s="31" t="n">
        <v>1314378</v>
      </c>
      <c r="B902" s="31" t="n">
        <v>1178</v>
      </c>
      <c r="C902" s="31" t="n">
        <v>179945</v>
      </c>
      <c r="D902" s="31" t="s">
        <v>58</v>
      </c>
      <c r="E902" s="31" t="s">
        <v>63</v>
      </c>
      <c r="F902" s="31" t="n">
        <v>107</v>
      </c>
      <c r="G902" s="31" t="n">
        <v>866355</v>
      </c>
      <c r="H902" s="31" t="n">
        <v>139</v>
      </c>
      <c r="I902" s="32" t="n">
        <v>200.8299961</v>
      </c>
      <c r="J902" s="31" t="n">
        <v>11</v>
      </c>
      <c r="K902" s="31" t="n">
        <v>5</v>
      </c>
    </row>
    <row r="903" customFormat="false" ht="15" hidden="false" customHeight="false" outlineLevel="0" collapsed="false">
      <c r="A903" s="31" t="n">
        <v>1314379</v>
      </c>
      <c r="B903" s="31" t="n">
        <v>1178</v>
      </c>
      <c r="C903" s="31" t="n">
        <v>179946</v>
      </c>
      <c r="D903" s="31" t="s">
        <v>58</v>
      </c>
      <c r="E903" s="31" t="s">
        <v>63</v>
      </c>
      <c r="F903" s="31" t="n">
        <v>108</v>
      </c>
      <c r="G903" s="31" t="n">
        <v>502710</v>
      </c>
      <c r="H903" s="31" t="n">
        <v>72</v>
      </c>
      <c r="I903" s="32" t="n">
        <v>105.2199969</v>
      </c>
      <c r="J903" s="31" t="n">
        <v>8</v>
      </c>
      <c r="K903" s="31" t="n">
        <v>2</v>
      </c>
    </row>
    <row r="904" customFormat="false" ht="15" hidden="false" customHeight="false" outlineLevel="0" collapsed="false">
      <c r="A904" s="31" t="n">
        <v>1314380</v>
      </c>
      <c r="B904" s="31" t="n">
        <v>1178</v>
      </c>
      <c r="C904" s="31" t="n">
        <v>179947</v>
      </c>
      <c r="D904" s="31" t="s">
        <v>58</v>
      </c>
      <c r="E904" s="31" t="s">
        <v>63</v>
      </c>
      <c r="F904" s="31" t="n">
        <v>109</v>
      </c>
      <c r="G904" s="31" t="n">
        <v>475184</v>
      </c>
      <c r="H904" s="31" t="n">
        <v>88</v>
      </c>
      <c r="I904" s="32" t="n">
        <v>127.3200028</v>
      </c>
      <c r="J904" s="31" t="n">
        <v>4</v>
      </c>
      <c r="K904" s="31" t="n">
        <v>1</v>
      </c>
    </row>
    <row r="905" customFormat="false" ht="15" hidden="false" customHeight="false" outlineLevel="0" collapsed="false">
      <c r="A905" s="31" t="n">
        <v>1314381</v>
      </c>
      <c r="B905" s="31" t="n">
        <v>1178</v>
      </c>
      <c r="C905" s="31" t="n">
        <v>179948</v>
      </c>
      <c r="D905" s="31" t="s">
        <v>58</v>
      </c>
      <c r="E905" s="31" t="s">
        <v>63</v>
      </c>
      <c r="F905" s="31" t="n">
        <v>110</v>
      </c>
      <c r="G905" s="31" t="n">
        <v>357401</v>
      </c>
      <c r="H905" s="31" t="n">
        <v>47</v>
      </c>
      <c r="I905" s="32" t="n">
        <v>68.67000008</v>
      </c>
      <c r="J905" s="31" t="n">
        <v>8</v>
      </c>
      <c r="K905" s="31" t="n">
        <v>1</v>
      </c>
    </row>
    <row r="906" customFormat="false" ht="15" hidden="false" customHeight="false" outlineLevel="0" collapsed="false">
      <c r="A906" s="31" t="n">
        <v>1314382</v>
      </c>
      <c r="B906" s="31" t="n">
        <v>1178</v>
      </c>
      <c r="C906" s="31" t="n">
        <v>179949</v>
      </c>
      <c r="D906" s="31" t="s">
        <v>58</v>
      </c>
      <c r="E906" s="31" t="s">
        <v>63</v>
      </c>
      <c r="F906" s="31" t="n">
        <v>111</v>
      </c>
      <c r="G906" s="31" t="n">
        <v>99810</v>
      </c>
      <c r="H906" s="31" t="n">
        <v>14</v>
      </c>
      <c r="I906" s="32" t="n">
        <v>20.05000019</v>
      </c>
      <c r="J906" s="31" t="n">
        <v>2</v>
      </c>
      <c r="K906" s="31" t="n">
        <v>0</v>
      </c>
    </row>
    <row r="907" customFormat="false" ht="15" hidden="false" customHeight="false" outlineLevel="0" collapsed="false">
      <c r="A907" s="31" t="n">
        <v>1314383</v>
      </c>
      <c r="B907" s="31" t="n">
        <v>1178</v>
      </c>
      <c r="C907" s="31" t="n">
        <v>179950</v>
      </c>
      <c r="D907" s="31" t="s">
        <v>58</v>
      </c>
      <c r="E907" s="31" t="s">
        <v>63</v>
      </c>
      <c r="F907" s="31" t="n">
        <v>112</v>
      </c>
      <c r="G907" s="31" t="n">
        <v>81569</v>
      </c>
      <c r="H907" s="31" t="n">
        <v>6</v>
      </c>
      <c r="I907" s="32" t="n">
        <v>9.409999967</v>
      </c>
      <c r="J907" s="31" t="n">
        <v>3</v>
      </c>
      <c r="K907" s="31" t="n">
        <v>1</v>
      </c>
    </row>
    <row r="908" customFormat="false" ht="15" hidden="false" customHeight="false" outlineLevel="0" collapsed="false">
      <c r="A908" s="31" t="n">
        <v>1314384</v>
      </c>
      <c r="B908" s="31" t="n">
        <v>1178</v>
      </c>
      <c r="C908" s="31" t="n">
        <v>179951</v>
      </c>
      <c r="D908" s="31" t="s">
        <v>58</v>
      </c>
      <c r="E908" s="31" t="s">
        <v>63</v>
      </c>
      <c r="F908" s="31" t="n">
        <v>113</v>
      </c>
      <c r="G908" s="31" t="n">
        <v>441192</v>
      </c>
      <c r="H908" s="31" t="n">
        <v>53</v>
      </c>
      <c r="I908" s="32" t="n">
        <v>77.59999979</v>
      </c>
      <c r="J908" s="31" t="n">
        <v>6</v>
      </c>
      <c r="K908" s="31" t="n">
        <v>2</v>
      </c>
    </row>
    <row r="909" customFormat="false" ht="15" hidden="false" customHeight="false" outlineLevel="0" collapsed="false">
      <c r="A909" s="31" t="n">
        <v>1314385</v>
      </c>
      <c r="B909" s="31" t="n">
        <v>1178</v>
      </c>
      <c r="C909" s="31" t="n">
        <v>179952</v>
      </c>
      <c r="D909" s="31" t="s">
        <v>58</v>
      </c>
      <c r="E909" s="31" t="s">
        <v>63</v>
      </c>
      <c r="F909" s="31" t="n">
        <v>114</v>
      </c>
      <c r="G909" s="31" t="n">
        <v>90470</v>
      </c>
      <c r="H909" s="31" t="n">
        <v>11</v>
      </c>
      <c r="I909" s="32" t="n">
        <v>16.73000002</v>
      </c>
      <c r="J909" s="31" t="n">
        <v>1</v>
      </c>
      <c r="K909" s="31" t="n">
        <v>1</v>
      </c>
    </row>
    <row r="910" customFormat="false" ht="15" hidden="false" customHeight="false" outlineLevel="0" collapsed="false">
      <c r="A910" s="31" t="n">
        <v>1314386</v>
      </c>
      <c r="B910" s="31" t="n">
        <v>1178</v>
      </c>
      <c r="C910" s="31" t="n">
        <v>179953</v>
      </c>
      <c r="D910" s="31" t="s">
        <v>59</v>
      </c>
      <c r="E910" s="31" t="s">
        <v>63</v>
      </c>
      <c r="F910" s="31" t="n">
        <v>100</v>
      </c>
      <c r="G910" s="31" t="n">
        <v>834243</v>
      </c>
      <c r="H910" s="31" t="n">
        <v>166</v>
      </c>
      <c r="I910" s="32" t="n">
        <v>246.7499975</v>
      </c>
      <c r="J910" s="31" t="n">
        <v>18</v>
      </c>
      <c r="K910" s="31" t="n">
        <v>7</v>
      </c>
    </row>
    <row r="911" customFormat="false" ht="15" hidden="false" customHeight="false" outlineLevel="0" collapsed="false">
      <c r="A911" s="31" t="n">
        <v>1314387</v>
      </c>
      <c r="B911" s="31" t="n">
        <v>1178</v>
      </c>
      <c r="C911" s="31" t="n">
        <v>179954</v>
      </c>
      <c r="D911" s="31" t="s">
        <v>59</v>
      </c>
      <c r="E911" s="31" t="s">
        <v>63</v>
      </c>
      <c r="F911" s="31" t="n">
        <v>101</v>
      </c>
      <c r="G911" s="31" t="n">
        <v>696612</v>
      </c>
      <c r="H911" s="31" t="n">
        <v>152</v>
      </c>
      <c r="I911" s="32" t="n">
        <v>223.1899948</v>
      </c>
      <c r="J911" s="31" t="n">
        <v>31</v>
      </c>
      <c r="K911" s="31" t="n">
        <v>9</v>
      </c>
    </row>
    <row r="912" customFormat="false" ht="15" hidden="false" customHeight="false" outlineLevel="0" collapsed="false">
      <c r="A912" s="31" t="n">
        <v>1314388</v>
      </c>
      <c r="B912" s="31" t="n">
        <v>1178</v>
      </c>
      <c r="C912" s="31" t="n">
        <v>179955</v>
      </c>
      <c r="D912" s="31" t="s">
        <v>59</v>
      </c>
      <c r="E912" s="31" t="s">
        <v>63</v>
      </c>
      <c r="F912" s="31" t="n">
        <v>102</v>
      </c>
      <c r="G912" s="31" t="n">
        <v>329333</v>
      </c>
      <c r="H912" s="31" t="n">
        <v>48</v>
      </c>
      <c r="I912" s="32" t="n">
        <v>67.60999918</v>
      </c>
      <c r="J912" s="31" t="n">
        <v>1</v>
      </c>
      <c r="K912" s="31" t="n">
        <v>0</v>
      </c>
    </row>
    <row r="913" customFormat="false" ht="15" hidden="false" customHeight="false" outlineLevel="0" collapsed="false">
      <c r="A913" s="31" t="n">
        <v>1314389</v>
      </c>
      <c r="B913" s="31" t="n">
        <v>1178</v>
      </c>
      <c r="C913" s="31" t="n">
        <v>179956</v>
      </c>
      <c r="D913" s="31" t="s">
        <v>59</v>
      </c>
      <c r="E913" s="31" t="s">
        <v>63</v>
      </c>
      <c r="F913" s="31" t="n">
        <v>103</v>
      </c>
      <c r="G913" s="31" t="n">
        <v>1114711</v>
      </c>
      <c r="H913" s="31" t="n">
        <v>224</v>
      </c>
      <c r="I913" s="32" t="n">
        <v>319.0000019</v>
      </c>
      <c r="J913" s="31" t="n">
        <v>6</v>
      </c>
      <c r="K913" s="31" t="n">
        <v>0</v>
      </c>
    </row>
    <row r="914" customFormat="false" ht="15" hidden="false" customHeight="false" outlineLevel="0" collapsed="false">
      <c r="A914" s="31" t="n">
        <v>1314390</v>
      </c>
      <c r="B914" s="31" t="n">
        <v>1178</v>
      </c>
      <c r="C914" s="31" t="n">
        <v>179957</v>
      </c>
      <c r="D914" s="31" t="s">
        <v>59</v>
      </c>
      <c r="E914" s="31" t="s">
        <v>63</v>
      </c>
      <c r="F914" s="31" t="n">
        <v>104</v>
      </c>
      <c r="G914" s="31" t="n">
        <v>267316</v>
      </c>
      <c r="H914" s="31" t="n">
        <v>58</v>
      </c>
      <c r="I914" s="32" t="n">
        <v>82.92999887</v>
      </c>
      <c r="J914" s="31" t="n">
        <v>3</v>
      </c>
      <c r="K914" s="31" t="n">
        <v>0</v>
      </c>
    </row>
    <row r="915" customFormat="false" ht="15" hidden="false" customHeight="false" outlineLevel="0" collapsed="false">
      <c r="A915" s="31" t="n">
        <v>1314391</v>
      </c>
      <c r="B915" s="31" t="n">
        <v>1178</v>
      </c>
      <c r="C915" s="31" t="n">
        <v>179958</v>
      </c>
      <c r="D915" s="31" t="s">
        <v>59</v>
      </c>
      <c r="E915" s="31" t="s">
        <v>63</v>
      </c>
      <c r="F915" s="31" t="n">
        <v>105</v>
      </c>
      <c r="G915" s="31" t="n">
        <v>228629</v>
      </c>
      <c r="H915" s="31" t="n">
        <v>38</v>
      </c>
      <c r="I915" s="32" t="n">
        <v>57</v>
      </c>
      <c r="J915" s="31" t="n">
        <v>2</v>
      </c>
      <c r="K915" s="31" t="n">
        <v>0</v>
      </c>
    </row>
    <row r="916" customFormat="false" ht="15" hidden="false" customHeight="false" outlineLevel="0" collapsed="false">
      <c r="A916" s="31" t="n">
        <v>1314392</v>
      </c>
      <c r="B916" s="31" t="n">
        <v>1178</v>
      </c>
      <c r="C916" s="31" t="n">
        <v>179959</v>
      </c>
      <c r="D916" s="31" t="s">
        <v>59</v>
      </c>
      <c r="E916" s="31" t="s">
        <v>63</v>
      </c>
      <c r="F916" s="31" t="n">
        <v>106</v>
      </c>
      <c r="G916" s="31" t="n">
        <v>758340</v>
      </c>
      <c r="H916" s="31" t="n">
        <v>159</v>
      </c>
      <c r="I916" s="32" t="n">
        <v>233.110002</v>
      </c>
      <c r="J916" s="31" t="n">
        <v>13</v>
      </c>
      <c r="K916" s="31" t="n">
        <v>4</v>
      </c>
    </row>
    <row r="917" customFormat="false" ht="15" hidden="false" customHeight="false" outlineLevel="0" collapsed="false">
      <c r="A917" s="31" t="n">
        <v>1314393</v>
      </c>
      <c r="B917" s="31" t="n">
        <v>1178</v>
      </c>
      <c r="C917" s="31" t="n">
        <v>179960</v>
      </c>
      <c r="D917" s="31" t="s">
        <v>59</v>
      </c>
      <c r="E917" s="31" t="s">
        <v>63</v>
      </c>
      <c r="F917" s="31" t="n">
        <v>107</v>
      </c>
      <c r="G917" s="31" t="n">
        <v>877535</v>
      </c>
      <c r="H917" s="31" t="n">
        <v>149</v>
      </c>
      <c r="I917" s="32" t="n">
        <v>217.7799966</v>
      </c>
      <c r="J917" s="31" t="n">
        <v>5</v>
      </c>
      <c r="K917" s="31" t="n">
        <v>2</v>
      </c>
    </row>
    <row r="918" customFormat="false" ht="15" hidden="false" customHeight="false" outlineLevel="0" collapsed="false">
      <c r="A918" s="31" t="n">
        <v>1314394</v>
      </c>
      <c r="B918" s="31" t="n">
        <v>1178</v>
      </c>
      <c r="C918" s="31" t="n">
        <v>179961</v>
      </c>
      <c r="D918" s="31" t="s">
        <v>59</v>
      </c>
      <c r="E918" s="31" t="s">
        <v>63</v>
      </c>
      <c r="F918" s="31" t="n">
        <v>108</v>
      </c>
      <c r="G918" s="31" t="n">
        <v>1357386</v>
      </c>
      <c r="H918" s="31" t="n">
        <v>223</v>
      </c>
      <c r="I918" s="32" t="n">
        <v>323.0600071</v>
      </c>
      <c r="J918" s="31" t="n">
        <v>10</v>
      </c>
      <c r="K918" s="31" t="n">
        <v>1</v>
      </c>
    </row>
    <row r="919" customFormat="false" ht="15" hidden="false" customHeight="false" outlineLevel="0" collapsed="false">
      <c r="A919" s="31" t="n">
        <v>1314395</v>
      </c>
      <c r="B919" s="31" t="n">
        <v>1178</v>
      </c>
      <c r="C919" s="31" t="n">
        <v>179962</v>
      </c>
      <c r="D919" s="31" t="s">
        <v>59</v>
      </c>
      <c r="E919" s="31" t="s">
        <v>63</v>
      </c>
      <c r="F919" s="31" t="n">
        <v>109</v>
      </c>
      <c r="G919" s="31" t="n">
        <v>280240</v>
      </c>
      <c r="H919" s="31" t="n">
        <v>61</v>
      </c>
      <c r="I919" s="32" t="n">
        <v>87.99000168</v>
      </c>
      <c r="J919" s="31" t="n">
        <v>2</v>
      </c>
      <c r="K919" s="31" t="n">
        <v>2</v>
      </c>
    </row>
    <row r="920" customFormat="false" ht="15" hidden="false" customHeight="false" outlineLevel="0" collapsed="false">
      <c r="A920" s="31" t="n">
        <v>1314396</v>
      </c>
      <c r="B920" s="31" t="n">
        <v>1178</v>
      </c>
      <c r="C920" s="31" t="n">
        <v>179963</v>
      </c>
      <c r="D920" s="31" t="s">
        <v>59</v>
      </c>
      <c r="E920" s="31" t="s">
        <v>63</v>
      </c>
      <c r="F920" s="31" t="n">
        <v>110</v>
      </c>
      <c r="G920" s="31" t="n">
        <v>419922</v>
      </c>
      <c r="H920" s="31" t="n">
        <v>75</v>
      </c>
      <c r="I920" s="32" t="n">
        <v>105.4500008</v>
      </c>
      <c r="J920" s="31" t="n">
        <v>3</v>
      </c>
      <c r="K920" s="31" t="n">
        <v>1</v>
      </c>
    </row>
    <row r="921" customFormat="false" ht="15" hidden="false" customHeight="false" outlineLevel="0" collapsed="false">
      <c r="A921" s="31" t="n">
        <v>1314397</v>
      </c>
      <c r="B921" s="31" t="n">
        <v>1178</v>
      </c>
      <c r="C921" s="31" t="n">
        <v>179964</v>
      </c>
      <c r="D921" s="31" t="s">
        <v>59</v>
      </c>
      <c r="E921" s="31" t="s">
        <v>63</v>
      </c>
      <c r="F921" s="31" t="n">
        <v>111</v>
      </c>
      <c r="G921" s="31" t="n">
        <v>402975</v>
      </c>
      <c r="H921" s="31" t="n">
        <v>83</v>
      </c>
      <c r="I921" s="32" t="n">
        <v>120.8999977</v>
      </c>
      <c r="J921" s="31" t="n">
        <v>1</v>
      </c>
      <c r="K921" s="31" t="n">
        <v>0</v>
      </c>
    </row>
    <row r="922" customFormat="false" ht="15" hidden="false" customHeight="false" outlineLevel="0" collapsed="false">
      <c r="A922" s="31" t="n">
        <v>1314398</v>
      </c>
      <c r="B922" s="31" t="n">
        <v>1178</v>
      </c>
      <c r="C922" s="31" t="n">
        <v>179965</v>
      </c>
      <c r="D922" s="31" t="s">
        <v>59</v>
      </c>
      <c r="E922" s="31" t="s">
        <v>63</v>
      </c>
      <c r="F922" s="31" t="n">
        <v>112</v>
      </c>
      <c r="G922" s="31" t="n">
        <v>1137635</v>
      </c>
      <c r="H922" s="31" t="n">
        <v>211</v>
      </c>
      <c r="I922" s="32" t="n">
        <v>301.0499992</v>
      </c>
      <c r="J922" s="31" t="n">
        <v>30</v>
      </c>
      <c r="K922" s="31" t="n">
        <v>10</v>
      </c>
    </row>
    <row r="923" customFormat="false" ht="15" hidden="false" customHeight="false" outlineLevel="0" collapsed="false">
      <c r="A923" s="31" t="n">
        <v>1314400</v>
      </c>
      <c r="B923" s="31" t="n">
        <v>1178</v>
      </c>
      <c r="C923" s="31" t="n">
        <v>179967</v>
      </c>
      <c r="D923" s="31" t="s">
        <v>59</v>
      </c>
      <c r="E923" s="31" t="s">
        <v>63</v>
      </c>
      <c r="F923" s="31" t="n">
        <v>114</v>
      </c>
      <c r="G923" s="31" t="n">
        <v>250234</v>
      </c>
      <c r="H923" s="31" t="n">
        <v>40</v>
      </c>
      <c r="I923" s="32" t="n">
        <v>62.31999922</v>
      </c>
      <c r="J923" s="31" t="n">
        <v>4</v>
      </c>
      <c r="K923" s="31" t="n">
        <v>1</v>
      </c>
    </row>
    <row r="924" customFormat="false" ht="15" hidden="false" customHeight="false" outlineLevel="0" collapsed="false">
      <c r="A924" s="31" t="n">
        <v>1314401</v>
      </c>
      <c r="B924" s="31" t="n">
        <v>1178</v>
      </c>
      <c r="C924" s="31" t="n">
        <v>179968</v>
      </c>
      <c r="D924" s="31" t="s">
        <v>60</v>
      </c>
      <c r="E924" s="31" t="s">
        <v>63</v>
      </c>
      <c r="F924" s="31" t="n">
        <v>100</v>
      </c>
      <c r="G924" s="31" t="n">
        <v>904907</v>
      </c>
      <c r="H924" s="31" t="n">
        <v>195</v>
      </c>
      <c r="I924" s="32" t="n">
        <v>279.219995</v>
      </c>
      <c r="J924" s="31" t="n">
        <v>11</v>
      </c>
      <c r="K924" s="31" t="n">
        <v>1</v>
      </c>
    </row>
    <row r="925" customFormat="false" ht="15" hidden="false" customHeight="false" outlineLevel="0" collapsed="false">
      <c r="A925" s="31" t="n">
        <v>1314402</v>
      </c>
      <c r="B925" s="31" t="n">
        <v>1178</v>
      </c>
      <c r="C925" s="31" t="n">
        <v>179969</v>
      </c>
      <c r="D925" s="31" t="s">
        <v>60</v>
      </c>
      <c r="E925" s="31" t="s">
        <v>63</v>
      </c>
      <c r="F925" s="31" t="n">
        <v>101</v>
      </c>
      <c r="G925" s="31" t="n">
        <v>589270</v>
      </c>
      <c r="H925" s="31" t="n">
        <v>107</v>
      </c>
      <c r="I925" s="32" t="n">
        <v>158.0500023</v>
      </c>
      <c r="J925" s="31" t="n">
        <v>10</v>
      </c>
      <c r="K925" s="31" t="n">
        <v>4</v>
      </c>
    </row>
    <row r="926" customFormat="false" ht="15" hidden="false" customHeight="false" outlineLevel="0" collapsed="false">
      <c r="A926" s="31" t="n">
        <v>1314403</v>
      </c>
      <c r="B926" s="31" t="n">
        <v>1178</v>
      </c>
      <c r="C926" s="31" t="n">
        <v>179970</v>
      </c>
      <c r="D926" s="31" t="s">
        <v>60</v>
      </c>
      <c r="E926" s="31" t="s">
        <v>63</v>
      </c>
      <c r="F926" s="31" t="n">
        <v>102</v>
      </c>
      <c r="G926" s="31" t="n">
        <v>168714</v>
      </c>
      <c r="H926" s="31" t="n">
        <v>24</v>
      </c>
      <c r="I926" s="32" t="n">
        <v>36.01000071</v>
      </c>
      <c r="J926" s="31" t="n">
        <v>2</v>
      </c>
      <c r="K926" s="31" t="n">
        <v>2</v>
      </c>
    </row>
    <row r="927" customFormat="false" ht="15" hidden="false" customHeight="false" outlineLevel="0" collapsed="false">
      <c r="A927" s="31" t="n">
        <v>1314404</v>
      </c>
      <c r="B927" s="31" t="n">
        <v>1178</v>
      </c>
      <c r="C927" s="31" t="n">
        <v>179971</v>
      </c>
      <c r="D927" s="31" t="s">
        <v>60</v>
      </c>
      <c r="E927" s="31" t="s">
        <v>63</v>
      </c>
      <c r="F927" s="31" t="n">
        <v>103</v>
      </c>
      <c r="G927" s="31" t="n">
        <v>71982</v>
      </c>
      <c r="H927" s="31" t="n">
        <v>11</v>
      </c>
      <c r="I927" s="32" t="n">
        <v>16.34000051</v>
      </c>
      <c r="J927" s="31" t="n">
        <v>1</v>
      </c>
      <c r="K927" s="31" t="n">
        <v>0</v>
      </c>
    </row>
    <row r="928" customFormat="false" ht="15" hidden="false" customHeight="false" outlineLevel="0" collapsed="false">
      <c r="A928" s="31" t="n">
        <v>1314405</v>
      </c>
      <c r="B928" s="31" t="n">
        <v>1178</v>
      </c>
      <c r="C928" s="31" t="n">
        <v>179972</v>
      </c>
      <c r="D928" s="31" t="s">
        <v>60</v>
      </c>
      <c r="E928" s="31" t="s">
        <v>63</v>
      </c>
      <c r="F928" s="31" t="n">
        <v>104</v>
      </c>
      <c r="G928" s="31" t="n">
        <v>558666</v>
      </c>
      <c r="H928" s="31" t="n">
        <v>110</v>
      </c>
      <c r="I928" s="32" t="n">
        <v>162.6399975</v>
      </c>
      <c r="J928" s="31" t="n">
        <v>14</v>
      </c>
      <c r="K928" s="31" t="n">
        <v>5</v>
      </c>
    </row>
    <row r="929" customFormat="false" ht="15" hidden="false" customHeight="false" outlineLevel="0" collapsed="false">
      <c r="A929" s="31" t="n">
        <v>1314406</v>
      </c>
      <c r="B929" s="31" t="n">
        <v>1178</v>
      </c>
      <c r="C929" s="31" t="n">
        <v>179973</v>
      </c>
      <c r="D929" s="31" t="s">
        <v>60</v>
      </c>
      <c r="E929" s="31" t="s">
        <v>63</v>
      </c>
      <c r="F929" s="31" t="n">
        <v>105</v>
      </c>
      <c r="G929" s="31" t="n">
        <v>1118200</v>
      </c>
      <c r="H929" s="31" t="n">
        <v>235</v>
      </c>
      <c r="I929" s="32" t="n">
        <v>333.7499943</v>
      </c>
      <c r="J929" s="31" t="n">
        <v>11</v>
      </c>
      <c r="K929" s="31" t="n">
        <v>4</v>
      </c>
    </row>
    <row r="930" customFormat="false" ht="15" hidden="false" customHeight="false" outlineLevel="0" collapsed="false">
      <c r="A930" s="31" t="n">
        <v>1314407</v>
      </c>
      <c r="B930" s="31" t="n">
        <v>1178</v>
      </c>
      <c r="C930" s="31" t="n">
        <v>179974</v>
      </c>
      <c r="D930" s="31" t="s">
        <v>60</v>
      </c>
      <c r="E930" s="31" t="s">
        <v>63</v>
      </c>
      <c r="F930" s="31" t="n">
        <v>106</v>
      </c>
      <c r="G930" s="31" t="n">
        <v>107100</v>
      </c>
      <c r="H930" s="31" t="n">
        <v>23</v>
      </c>
      <c r="I930" s="32" t="n">
        <v>33.71000051</v>
      </c>
      <c r="J930" s="31" t="n">
        <v>1</v>
      </c>
      <c r="K930" s="31" t="n">
        <v>0</v>
      </c>
    </row>
    <row r="931" customFormat="false" ht="15" hidden="false" customHeight="false" outlineLevel="0" collapsed="false">
      <c r="A931" s="31" t="n">
        <v>1314408</v>
      </c>
      <c r="B931" s="31" t="n">
        <v>1178</v>
      </c>
      <c r="C931" s="31" t="n">
        <v>179975</v>
      </c>
      <c r="D931" s="31" t="s">
        <v>60</v>
      </c>
      <c r="E931" s="31" t="s">
        <v>63</v>
      </c>
      <c r="F931" s="31" t="n">
        <v>107</v>
      </c>
      <c r="G931" s="31" t="n">
        <v>877769</v>
      </c>
      <c r="H931" s="31" t="n">
        <v>160</v>
      </c>
      <c r="I931" s="32" t="n">
        <v>232.5900005</v>
      </c>
      <c r="J931" s="31" t="n">
        <v>13</v>
      </c>
      <c r="K931" s="31" t="n">
        <v>4</v>
      </c>
    </row>
    <row r="932" customFormat="false" ht="15" hidden="false" customHeight="false" outlineLevel="0" collapsed="false">
      <c r="A932" s="31" t="n">
        <v>1314409</v>
      </c>
      <c r="B932" s="31" t="n">
        <v>1178</v>
      </c>
      <c r="C932" s="31" t="n">
        <v>179976</v>
      </c>
      <c r="D932" s="31" t="s">
        <v>60</v>
      </c>
      <c r="E932" s="31" t="s">
        <v>63</v>
      </c>
      <c r="F932" s="31" t="n">
        <v>108</v>
      </c>
      <c r="G932" s="31" t="n">
        <v>212508</v>
      </c>
      <c r="H932" s="31" t="n">
        <v>33</v>
      </c>
      <c r="I932" s="32" t="n">
        <v>47.69000006</v>
      </c>
      <c r="J932" s="31" t="n">
        <v>4</v>
      </c>
      <c r="K932" s="31" t="n">
        <v>1</v>
      </c>
    </row>
    <row r="933" customFormat="false" ht="15" hidden="false" customHeight="false" outlineLevel="0" collapsed="false">
      <c r="A933" s="31" t="n">
        <v>1314410</v>
      </c>
      <c r="B933" s="31" t="n">
        <v>1178</v>
      </c>
      <c r="C933" s="31" t="n">
        <v>179977</v>
      </c>
      <c r="D933" s="31" t="s">
        <v>60</v>
      </c>
      <c r="E933" s="31" t="s">
        <v>63</v>
      </c>
      <c r="F933" s="31" t="n">
        <v>109</v>
      </c>
      <c r="G933" s="31" t="n">
        <v>1129773</v>
      </c>
      <c r="H933" s="31" t="n">
        <v>252</v>
      </c>
      <c r="I933" s="32" t="n">
        <v>358.189997</v>
      </c>
      <c r="J933" s="31" t="n">
        <v>13</v>
      </c>
      <c r="K933" s="31" t="n">
        <v>2</v>
      </c>
    </row>
    <row r="934" customFormat="false" ht="15" hidden="false" customHeight="false" outlineLevel="0" collapsed="false">
      <c r="A934" s="31" t="n">
        <v>1314411</v>
      </c>
      <c r="B934" s="31" t="n">
        <v>1178</v>
      </c>
      <c r="C934" s="31" t="n">
        <v>179978</v>
      </c>
      <c r="D934" s="31" t="s">
        <v>60</v>
      </c>
      <c r="E934" s="31" t="s">
        <v>63</v>
      </c>
      <c r="F934" s="31" t="n">
        <v>110</v>
      </c>
      <c r="G934" s="31" t="n">
        <v>637549</v>
      </c>
      <c r="H934" s="31" t="n">
        <v>120</v>
      </c>
      <c r="I934" s="32" t="n">
        <v>173.8800035</v>
      </c>
      <c r="J934" s="31" t="n">
        <v>3</v>
      </c>
      <c r="K934" s="31" t="n">
        <v>0</v>
      </c>
    </row>
    <row r="935" customFormat="false" ht="15" hidden="false" customHeight="false" outlineLevel="0" collapsed="false">
      <c r="A935" s="31" t="n">
        <v>1314412</v>
      </c>
      <c r="B935" s="31" t="n">
        <v>1178</v>
      </c>
      <c r="C935" s="31" t="n">
        <v>179979</v>
      </c>
      <c r="D935" s="31" t="s">
        <v>60</v>
      </c>
      <c r="E935" s="31" t="s">
        <v>63</v>
      </c>
      <c r="F935" s="31" t="n">
        <v>111</v>
      </c>
      <c r="G935" s="31" t="n">
        <v>151531</v>
      </c>
      <c r="H935" s="31" t="n">
        <v>28</v>
      </c>
      <c r="I935" s="32" t="n">
        <v>40.28999949</v>
      </c>
      <c r="J935" s="31" t="n">
        <v>2</v>
      </c>
      <c r="K935" s="31" t="n">
        <v>0</v>
      </c>
    </row>
    <row r="936" customFormat="false" ht="15" hidden="false" customHeight="false" outlineLevel="0" collapsed="false">
      <c r="A936" s="31" t="n">
        <v>1314414</v>
      </c>
      <c r="B936" s="31" t="n">
        <v>1178</v>
      </c>
      <c r="C936" s="31" t="n">
        <v>179981</v>
      </c>
      <c r="D936" s="31" t="s">
        <v>60</v>
      </c>
      <c r="E936" s="31" t="s">
        <v>63</v>
      </c>
      <c r="F936" s="31" t="n">
        <v>113</v>
      </c>
      <c r="G936" s="31" t="n">
        <v>790253</v>
      </c>
      <c r="H936" s="31" t="n">
        <v>135</v>
      </c>
      <c r="I936" s="32" t="n">
        <v>198.7100005</v>
      </c>
      <c r="J936" s="31" t="n">
        <v>8</v>
      </c>
      <c r="K936" s="31" t="n">
        <v>2</v>
      </c>
    </row>
    <row r="937" customFormat="false" ht="15" hidden="false" customHeight="false" outlineLevel="0" collapsed="false">
      <c r="A937" s="31" t="n">
        <v>1314415</v>
      </c>
      <c r="B937" s="31" t="n">
        <v>1178</v>
      </c>
      <c r="C937" s="31" t="n">
        <v>179982</v>
      </c>
      <c r="D937" s="31" t="s">
        <v>60</v>
      </c>
      <c r="E937" s="31" t="s">
        <v>63</v>
      </c>
      <c r="F937" s="31" t="n">
        <v>114</v>
      </c>
      <c r="G937" s="31" t="n">
        <v>513161</v>
      </c>
      <c r="H937" s="31" t="n">
        <v>114</v>
      </c>
      <c r="I937" s="32" t="n">
        <v>165.6099987</v>
      </c>
      <c r="J937" s="31" t="n">
        <v>5</v>
      </c>
      <c r="K937" s="3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2026-10-06T06:38:23Z</dcterms:created>
  <dc:creator>openpyxl</dc:creator>
  <dc:description/>
  <dc:language>en-US</dc:language>
  <cp:lastModifiedBy/>
  <dcterms:modified xsi:type="dcterms:W3CDTF">2026-10-06T06:38:23Z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